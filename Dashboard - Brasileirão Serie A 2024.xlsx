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eona\OneDrive\Área de Trabalho\analise-brasileirao-excel\2 - Análise\"/>
    </mc:Choice>
  </mc:AlternateContent>
  <xr:revisionPtr revIDLastSave="0" documentId="8_{B726FFF7-6CC0-4CA3-AE68-FE772FD2B13A}" xr6:coauthVersionLast="47" xr6:coauthVersionMax="47" xr10:uidLastSave="{00000000-0000-0000-0000-000000000000}"/>
  <bookViews>
    <workbookView xWindow="-120" yWindow="-120" windowWidth="29040" windowHeight="16440" activeTab="5" xr2:uid="{00000000-000D-0000-FFFF-FFFF00000000}"/>
  </bookViews>
  <sheets>
    <sheet name="BRA" sheetId="2" r:id="rId1"/>
    <sheet name="Gols em casa" sheetId="3" r:id="rId2"/>
    <sheet name="Gols_Marcados_x_Sofridos" sheetId="4" r:id="rId3"/>
    <sheet name="Resultados" sheetId="6" r:id="rId4"/>
    <sheet name="Rodadas com mais Gols" sheetId="7" r:id="rId5"/>
    <sheet name="Dashboard" sheetId="8" r:id="rId6"/>
  </sheets>
  <definedNames>
    <definedName name="DadosExternos_1" localSheetId="0" hidden="1">BRA!$A$1:$Y$381</definedName>
  </definedNames>
  <calcPr calcId="191028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7" l="1"/>
  <c r="D3" i="7"/>
  <c r="D69" i="7"/>
  <c r="D96" i="7"/>
  <c r="D21" i="7"/>
  <c r="D89" i="7"/>
  <c r="D32" i="7"/>
  <c r="D77" i="7"/>
  <c r="D107" i="7"/>
  <c r="D10" i="7"/>
  <c r="D4" i="7"/>
  <c r="D78" i="7"/>
  <c r="D70" i="7"/>
  <c r="D49" i="7"/>
  <c r="D33" i="7"/>
  <c r="D97" i="7"/>
  <c r="D34" i="7"/>
  <c r="D124" i="7"/>
  <c r="D50" i="7"/>
  <c r="D61" i="7"/>
  <c r="D102" i="7"/>
  <c r="D71" i="7"/>
  <c r="D51" i="7"/>
  <c r="D120" i="7"/>
  <c r="D62" i="7"/>
  <c r="D113" i="7"/>
  <c r="D35" i="7"/>
  <c r="D52" i="7"/>
  <c r="D108" i="7"/>
  <c r="D22" i="7"/>
  <c r="D36" i="7"/>
  <c r="D121" i="7"/>
  <c r="D79" i="7"/>
  <c r="D122" i="7"/>
  <c r="D37" i="7"/>
  <c r="D83" i="7"/>
  <c r="D53" i="7"/>
  <c r="D90" i="7"/>
  <c r="D72" i="7"/>
  <c r="D23" i="7"/>
  <c r="D54" i="7"/>
  <c r="D73" i="7"/>
  <c r="D55" i="7"/>
  <c r="D100" i="7"/>
  <c r="D11" i="7"/>
  <c r="D84" i="7"/>
  <c r="D74" i="7"/>
  <c r="D56" i="7"/>
  <c r="D63" i="7"/>
  <c r="D109" i="7"/>
  <c r="D64" i="7"/>
  <c r="D110" i="7"/>
  <c r="D38" i="7"/>
  <c r="D65" i="7"/>
  <c r="D115" i="7"/>
  <c r="D39" i="7"/>
  <c r="D80" i="7"/>
  <c r="D111" i="7"/>
  <c r="D57" i="7"/>
  <c r="D85" i="7"/>
  <c r="D86" i="7"/>
  <c r="D40" i="7"/>
  <c r="D41" i="7"/>
  <c r="D12" i="7"/>
  <c r="D42" i="7"/>
  <c r="D126" i="7"/>
  <c r="D5" i="7"/>
  <c r="D43" i="7"/>
  <c r="D58" i="7"/>
  <c r="D119" i="7"/>
  <c r="D44" i="7"/>
  <c r="D66" i="7"/>
  <c r="D116" i="7"/>
  <c r="D6" i="7"/>
  <c r="D81" i="7"/>
  <c r="D45" i="7"/>
  <c r="D105" i="7"/>
  <c r="D13" i="7"/>
  <c r="D24" i="7"/>
  <c r="D14" i="7"/>
  <c r="D114" i="7"/>
  <c r="D25" i="7"/>
  <c r="D46" i="7"/>
  <c r="D67" i="7"/>
  <c r="D91" i="7"/>
  <c r="D75" i="7"/>
  <c r="D87" i="7"/>
  <c r="D15" i="7"/>
  <c r="D16" i="7"/>
  <c r="D125" i="7"/>
  <c r="D26" i="7"/>
  <c r="D17" i="7"/>
  <c r="D68" i="7"/>
  <c r="D27" i="7"/>
  <c r="D98" i="7"/>
  <c r="D28" i="7"/>
  <c r="D88" i="7"/>
  <c r="D29" i="7"/>
  <c r="D30" i="7"/>
  <c r="D103" i="7"/>
  <c r="D47" i="7"/>
  <c r="D7" i="7"/>
  <c r="D18" i="7"/>
  <c r="D117" i="7"/>
  <c r="D19" i="7"/>
  <c r="D92" i="7"/>
  <c r="D106" i="7"/>
  <c r="D8" i="7"/>
  <c r="D93" i="7"/>
  <c r="D31" i="7"/>
  <c r="D94" i="7"/>
  <c r="D118" i="7"/>
  <c r="D48" i="7"/>
  <c r="D99" i="7"/>
  <c r="D101" i="7"/>
  <c r="D127" i="7"/>
  <c r="D128" i="7"/>
  <c r="D123" i="7"/>
  <c r="D82" i="7"/>
  <c r="D95" i="7"/>
  <c r="D9" i="7"/>
  <c r="D60" i="7"/>
  <c r="D112" i="7"/>
  <c r="D76" i="7"/>
  <c r="D104" i="7"/>
  <c r="D59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46AE158-DE8B-4A8D-BCA6-8C593162B066}" keepAlive="1" name="Query - BRA" description="Conexão com a consulta 'BRA' na pasta de trabalho." type="5" refreshedVersion="8" background="1" saveData="1">
    <dbPr connection="Provider=Microsoft.Mashup.OleDb.1;Data Source=$Workbook$;Location=BRA;Extended Properties=&quot;&quot;" command="SELECT * FROM [BRA]"/>
  </connection>
</connections>
</file>

<file path=xl/sharedStrings.xml><?xml version="1.0" encoding="utf-8"?>
<sst xmlns="http://schemas.openxmlformats.org/spreadsheetml/2006/main" count="4286" uniqueCount="228">
  <si>
    <t>Country</t>
  </si>
  <si>
    <t>League</t>
  </si>
  <si>
    <t>Season</t>
  </si>
  <si>
    <t>Date</t>
  </si>
  <si>
    <t>Time</t>
  </si>
  <si>
    <t>Home</t>
  </si>
  <si>
    <t>Away</t>
  </si>
  <si>
    <t>HG</t>
  </si>
  <si>
    <t>AG</t>
  </si>
  <si>
    <t>Res</t>
  </si>
  <si>
    <t>PSCH</t>
  </si>
  <si>
    <t>PSCD</t>
  </si>
  <si>
    <t>PSCA</t>
  </si>
  <si>
    <t>MaxCH</t>
  </si>
  <si>
    <t>MaxCD</t>
  </si>
  <si>
    <t>MaxCA</t>
  </si>
  <si>
    <t>AvgCH</t>
  </si>
  <si>
    <t>AvgCD</t>
  </si>
  <si>
    <t>AvgCA</t>
  </si>
  <si>
    <t>BFECH</t>
  </si>
  <si>
    <t>BFECD</t>
  </si>
  <si>
    <t>BFECA</t>
  </si>
  <si>
    <t>B365CH</t>
  </si>
  <si>
    <t>B365CD</t>
  </si>
  <si>
    <t>B365CA</t>
  </si>
  <si>
    <t>Brazil</t>
  </si>
  <si>
    <t>Serie A</t>
  </si>
  <si>
    <t>Criciuma</t>
  </si>
  <si>
    <t>Juventude</t>
  </si>
  <si>
    <t>D</t>
  </si>
  <si>
    <t/>
  </si>
  <si>
    <t>Internacional</t>
  </si>
  <si>
    <t>Bahia</t>
  </si>
  <si>
    <t>H</t>
  </si>
  <si>
    <t>Fluminense</t>
  </si>
  <si>
    <t>Bragantino</t>
  </si>
  <si>
    <t>Sao Paulo</t>
  </si>
  <si>
    <t>Fortaleza</t>
  </si>
  <si>
    <t>A</t>
  </si>
  <si>
    <t>Athletico-PR</t>
  </si>
  <si>
    <t>Cuiaba</t>
  </si>
  <si>
    <t>Atletico GO</t>
  </si>
  <si>
    <t>Flamengo RJ</t>
  </si>
  <si>
    <t>Corinthians</t>
  </si>
  <si>
    <t>Atletico-MG</t>
  </si>
  <si>
    <t>Vasco</t>
  </si>
  <si>
    <t>Gremio</t>
  </si>
  <si>
    <t>Cruzeiro</t>
  </si>
  <si>
    <t>Botafogo RJ</t>
  </si>
  <si>
    <t>Vitoria</t>
  </si>
  <si>
    <t>Palmeiras</t>
  </si>
  <si>
    <t>2.66</t>
  </si>
  <si>
    <t>3.3</t>
  </si>
  <si>
    <t>3.1</t>
  </si>
  <si>
    <t>2.38</t>
  </si>
  <si>
    <t>3.45</t>
  </si>
  <si>
    <t>3.4</t>
  </si>
  <si>
    <t>3.25</t>
  </si>
  <si>
    <t>3.55</t>
  </si>
  <si>
    <t>1.38</t>
  </si>
  <si>
    <t>5.1</t>
  </si>
  <si>
    <t>11.5</t>
  </si>
  <si>
    <t>2.12</t>
  </si>
  <si>
    <t>4.2</t>
  </si>
  <si>
    <t>1.64</t>
  </si>
  <si>
    <t>4</t>
  </si>
  <si>
    <t>6.8</t>
  </si>
  <si>
    <t>2.56</t>
  </si>
  <si>
    <t>3.2</t>
  </si>
  <si>
    <t>3.15</t>
  </si>
  <si>
    <t>1.67</t>
  </si>
  <si>
    <t>3.9</t>
  </si>
  <si>
    <t>2.16</t>
  </si>
  <si>
    <t>4.3</t>
  </si>
  <si>
    <t>3.7</t>
  </si>
  <si>
    <t>1.98</t>
  </si>
  <si>
    <t>1.82</t>
  </si>
  <si>
    <t>3.8</t>
  </si>
  <si>
    <t>5.3</t>
  </si>
  <si>
    <t>2.34</t>
  </si>
  <si>
    <t>3.35</t>
  </si>
  <si>
    <t>3.6</t>
  </si>
  <si>
    <t>1.59</t>
  </si>
  <si>
    <t>4.1</t>
  </si>
  <si>
    <t>7.6</t>
  </si>
  <si>
    <t>3.05</t>
  </si>
  <si>
    <t>2.64</t>
  </si>
  <si>
    <t>1.69</t>
  </si>
  <si>
    <t>6.4</t>
  </si>
  <si>
    <t>1.43</t>
  </si>
  <si>
    <t>5</t>
  </si>
  <si>
    <t>9.2</t>
  </si>
  <si>
    <t>1.96</t>
  </si>
  <si>
    <t>1.76</t>
  </si>
  <si>
    <t>3.85</t>
  </si>
  <si>
    <t>5.7</t>
  </si>
  <si>
    <t>1.84</t>
  </si>
  <si>
    <t>3.5</t>
  </si>
  <si>
    <t>5.6</t>
  </si>
  <si>
    <t>1.73</t>
  </si>
  <si>
    <t>1.71</t>
  </si>
  <si>
    <t>5.9</t>
  </si>
  <si>
    <t>2.06</t>
  </si>
  <si>
    <t>1.8</t>
  </si>
  <si>
    <t>3.75</t>
  </si>
  <si>
    <t>5.5</t>
  </si>
  <si>
    <t>2.22</t>
  </si>
  <si>
    <t>3</t>
  </si>
  <si>
    <t>2.84</t>
  </si>
  <si>
    <t>2.96</t>
  </si>
  <si>
    <t>1.49</t>
  </si>
  <si>
    <t>4.5</t>
  </si>
  <si>
    <t>9</t>
  </si>
  <si>
    <t>1.79</t>
  </si>
  <si>
    <t>2.52</t>
  </si>
  <si>
    <t>4.6</t>
  </si>
  <si>
    <t>1.47</t>
  </si>
  <si>
    <t>4.7</t>
  </si>
  <si>
    <t>8.8</t>
  </si>
  <si>
    <t>2.4</t>
  </si>
  <si>
    <t>2.5</t>
  </si>
  <si>
    <t>1.3</t>
  </si>
  <si>
    <t>13</t>
  </si>
  <si>
    <t>6</t>
  </si>
  <si>
    <t>2.44</t>
  </si>
  <si>
    <t>2.08</t>
  </si>
  <si>
    <t>2.02</t>
  </si>
  <si>
    <t>2.72</t>
  </si>
  <si>
    <t>2.24</t>
  </si>
  <si>
    <t>1.7</t>
  </si>
  <si>
    <t>5.8</t>
  </si>
  <si>
    <t>6.2</t>
  </si>
  <si>
    <t>2.18</t>
  </si>
  <si>
    <t>3.95</t>
  </si>
  <si>
    <t>1.92</t>
  </si>
  <si>
    <t>1.83</t>
  </si>
  <si>
    <t>2.7</t>
  </si>
  <si>
    <t>3.65</t>
  </si>
  <si>
    <t>2.8</t>
  </si>
  <si>
    <t>1.75</t>
  </si>
  <si>
    <t>1.99</t>
  </si>
  <si>
    <t>4.8</t>
  </si>
  <si>
    <t>1.6</t>
  </si>
  <si>
    <t>4.4</t>
  </si>
  <si>
    <t>1.91</t>
  </si>
  <si>
    <t>5.4</t>
  </si>
  <si>
    <t>2.82</t>
  </si>
  <si>
    <t>2.68</t>
  </si>
  <si>
    <t>2.98</t>
  </si>
  <si>
    <t>1.74</t>
  </si>
  <si>
    <t>5.2</t>
  </si>
  <si>
    <t>2.46</t>
  </si>
  <si>
    <t>2.94</t>
  </si>
  <si>
    <t>1.86</t>
  </si>
  <si>
    <t>1.46</t>
  </si>
  <si>
    <t>9.4</t>
  </si>
  <si>
    <t>2.28</t>
  </si>
  <si>
    <t>1.65</t>
  </si>
  <si>
    <t>2.32</t>
  </si>
  <si>
    <t>6.6</t>
  </si>
  <si>
    <t>2.26</t>
  </si>
  <si>
    <t>2.1</t>
  </si>
  <si>
    <t>2.04</t>
  </si>
  <si>
    <t>2</t>
  </si>
  <si>
    <t>1.66</t>
  </si>
  <si>
    <t>2.6</t>
  </si>
  <si>
    <t>1.28</t>
  </si>
  <si>
    <t>14</t>
  </si>
  <si>
    <t>1.81</t>
  </si>
  <si>
    <t>10</t>
  </si>
  <si>
    <t>1.63</t>
  </si>
  <si>
    <t>2.74</t>
  </si>
  <si>
    <t>2.92</t>
  </si>
  <si>
    <t>1.85</t>
  </si>
  <si>
    <t>2.42</t>
  </si>
  <si>
    <t>1.77</t>
  </si>
  <si>
    <t>2.62</t>
  </si>
  <si>
    <t>1.4</t>
  </si>
  <si>
    <t>10.5</t>
  </si>
  <si>
    <t>1.9</t>
  </si>
  <si>
    <t>2.58</t>
  </si>
  <si>
    <t>2.36</t>
  </si>
  <si>
    <t>1.88</t>
  </si>
  <si>
    <t>4.9</t>
  </si>
  <si>
    <t>2.76</t>
  </si>
  <si>
    <t>1.78</t>
  </si>
  <si>
    <t>1.87</t>
  </si>
  <si>
    <t>1.35</t>
  </si>
  <si>
    <t>11</t>
  </si>
  <si>
    <t>1.97</t>
  </si>
  <si>
    <t>1.72</t>
  </si>
  <si>
    <t>1.37</t>
  </si>
  <si>
    <t>1.62</t>
  </si>
  <si>
    <t>2.2</t>
  </si>
  <si>
    <t>1.94</t>
  </si>
  <si>
    <t>2.3</t>
  </si>
  <si>
    <t>1.42</t>
  </si>
  <si>
    <t>1.5</t>
  </si>
  <si>
    <t>1.24</t>
  </si>
  <si>
    <t>20</t>
  </si>
  <si>
    <t>7</t>
  </si>
  <si>
    <t>8.4</t>
  </si>
  <si>
    <t>2.14</t>
  </si>
  <si>
    <t>1.39</t>
  </si>
  <si>
    <t>1.68</t>
  </si>
  <si>
    <t>1.95</t>
  </si>
  <si>
    <t>2.78</t>
  </si>
  <si>
    <t>12.5</t>
  </si>
  <si>
    <t>8.2</t>
  </si>
  <si>
    <t>1.29</t>
  </si>
  <si>
    <t>18.5</t>
  </si>
  <si>
    <t>9.6</t>
  </si>
  <si>
    <t>1.41</t>
  </si>
  <si>
    <t>2.86</t>
  </si>
  <si>
    <t>1.48</t>
  </si>
  <si>
    <t>7.8</t>
  </si>
  <si>
    <t>Soma de HG</t>
  </si>
  <si>
    <t>Total Geral</t>
  </si>
  <si>
    <t>Gols Sofridos</t>
  </si>
  <si>
    <t>Gols Marcados</t>
  </si>
  <si>
    <t>Contagem de Resultados</t>
  </si>
  <si>
    <t>Resultados</t>
  </si>
  <si>
    <t>Derrotas</t>
  </si>
  <si>
    <t>Empates</t>
  </si>
  <si>
    <t>Vitórias</t>
  </si>
  <si>
    <t>Soma de AG</t>
  </si>
  <si>
    <t>Total de Gols</t>
  </si>
  <si>
    <t>Dashboard - Brasileirão Série A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</si>
</sst>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8"/>
      <color rgb="FF000000"/>
      <name val="Calibri"/>
      <scheme val="minor"/>
    </font>
    <font>
      <b/>
      <sz val="28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center"/>
    </xf>
    <xf numFmtId="0" fontId="0" fillId="0" borderId="0" xfId="0" pivotButton="1" applyAlignment="1">
      <alignment horizontal="center"/>
    </xf>
    <xf numFmtId="0" fontId="0" fillId="0" borderId="0" xfId="0" applyAlignment="1">
      <alignment vertical="top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29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- Brasileirão Serie A 2024.xlsx]Gols em casa!Tabela Dinâmica1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Gols_Casa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5B9BD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'Gols em casa'!$B$2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9BD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'Gols em casa'!$A$3:$A$23</c:f>
              <c:strCache>
                <c:ptCount val="20"/>
                <c:pt idx="0">
                  <c:v>Corinthians</c:v>
                </c:pt>
                <c:pt idx="1">
                  <c:v>Palmeiras</c:v>
                </c:pt>
                <c:pt idx="2">
                  <c:v>Fortaleza</c:v>
                </c:pt>
                <c:pt idx="3">
                  <c:v>Botafogo RJ</c:v>
                </c:pt>
                <c:pt idx="4">
                  <c:v>Sao Paulo</c:v>
                </c:pt>
                <c:pt idx="5">
                  <c:v>Internacional</c:v>
                </c:pt>
                <c:pt idx="6">
                  <c:v>Flamengo RJ</c:v>
                </c:pt>
                <c:pt idx="7">
                  <c:v>Vasco</c:v>
                </c:pt>
                <c:pt idx="8">
                  <c:v>Cruzeiro</c:v>
                </c:pt>
                <c:pt idx="9">
                  <c:v>Atletico-MG</c:v>
                </c:pt>
                <c:pt idx="10">
                  <c:v>Bragantino</c:v>
                </c:pt>
                <c:pt idx="11">
                  <c:v>Juventude</c:v>
                </c:pt>
                <c:pt idx="12">
                  <c:v>Gremio</c:v>
                </c:pt>
                <c:pt idx="13">
                  <c:v>Bahia</c:v>
                </c:pt>
                <c:pt idx="14">
                  <c:v>Athletico-PR</c:v>
                </c:pt>
                <c:pt idx="15">
                  <c:v>Vitoria</c:v>
                </c:pt>
                <c:pt idx="16">
                  <c:v>Criciuma</c:v>
                </c:pt>
                <c:pt idx="17">
                  <c:v>Fluminense</c:v>
                </c:pt>
                <c:pt idx="18">
                  <c:v>Atletico GO</c:v>
                </c:pt>
                <c:pt idx="19">
                  <c:v>Cuiaba</c:v>
                </c:pt>
              </c:strCache>
            </c:strRef>
          </c:cat>
          <c:val>
            <c:numRef>
              <c:f>'Gols em casa'!$B$3:$B$23</c:f>
              <c:numCache>
                <c:formatCode>General</c:formatCode>
                <c:ptCount val="20"/>
                <c:pt idx="0">
                  <c:v>37</c:v>
                </c:pt>
                <c:pt idx="1">
                  <c:v>34</c:v>
                </c:pt>
                <c:pt idx="2">
                  <c:v>32</c:v>
                </c:pt>
                <c:pt idx="3">
                  <c:v>31</c:v>
                </c:pt>
                <c:pt idx="4">
                  <c:v>31</c:v>
                </c:pt>
                <c:pt idx="5">
                  <c:v>30</c:v>
                </c:pt>
                <c:pt idx="6">
                  <c:v>30</c:v>
                </c:pt>
                <c:pt idx="7">
                  <c:v>29</c:v>
                </c:pt>
                <c:pt idx="8">
                  <c:v>29</c:v>
                </c:pt>
                <c:pt idx="9">
                  <c:v>27</c:v>
                </c:pt>
                <c:pt idx="10">
                  <c:v>27</c:v>
                </c:pt>
                <c:pt idx="11">
                  <c:v>27</c:v>
                </c:pt>
                <c:pt idx="12">
                  <c:v>26</c:v>
                </c:pt>
                <c:pt idx="13">
                  <c:v>25</c:v>
                </c:pt>
                <c:pt idx="14">
                  <c:v>24</c:v>
                </c:pt>
                <c:pt idx="15">
                  <c:v>23</c:v>
                </c:pt>
                <c:pt idx="16">
                  <c:v>22</c:v>
                </c:pt>
                <c:pt idx="17">
                  <c:v>20</c:v>
                </c:pt>
                <c:pt idx="18">
                  <c:v>16</c:v>
                </c:pt>
                <c:pt idx="19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35-4E9B-89C3-2666EC96F3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3"/>
        <c:axId val="1819836935"/>
        <c:axId val="1819839495"/>
      </c:barChart>
      <c:catAx>
        <c:axId val="1819836935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839495"/>
        <c:crosses val="autoZero"/>
        <c:auto val="1"/>
        <c:lblAlgn val="ctr"/>
        <c:lblOffset val="100"/>
        <c:noMultiLvlLbl val="0"/>
      </c:catAx>
      <c:valAx>
        <c:axId val="1819839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836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- Brasileirão Serie A 2024.xlsx]Gols_Marcados_x_Sofridos!Tabela Dinâmica2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Gols Marcados x Gols Sofridos em Casa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5.6717476072315129E-3"/>
              <c:y val="6.4591896652964583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6.3807160581355084E-3"/>
              <c:y val="1.761597181444520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6.0262318326834543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5.6717476072315129E-3"/>
              <c:y val="-5.8719906048155341E-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9.2165898617512648E-3"/>
              <c:y val="2.348796241926003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9.5710740872029815E-3"/>
              <c:y val="1.761597181444520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9.2165898617511521E-3"/>
              <c:y val="5.8719906048150679E-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1531371853952716E-3"/>
              <c:y val="1.174398120963013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7.0896845090392784E-3"/>
              <c:y val="1.761597181444520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6.3807160581353956E-3"/>
              <c:y val="5.8719906048150679E-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8621056362992098E-3"/>
              <c:y val="1.761597181444427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7.4441687344914452E-3"/>
              <c:y val="2.348796241925980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7.0896845090392784E-3"/>
              <c:y val="-4.11039342337064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7.0896845090392784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3.8993264799718061E-3"/>
              <c:y val="1.761597181444520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1760071354244346E-3"/>
              <c:y val="6.1561191824672221E-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5.2029136316338129E-3"/>
              <c:y val="-1.231223836493537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6.3178236955552395E-3"/>
              <c:y val="-6.1561191824681546E-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7.0610931698054996E-3"/>
              <c:y val="3.078027275647474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7.0610970715031208E-3"/>
              <c:y val="3.078059591233704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7.4327337594767787E-3"/>
              <c:y val="1.231223836493537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1760071354244346E-3"/>
              <c:y val="6.1561191824672221E-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7.8254064863923535E-3"/>
              <c:y val="1.440299582313189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0280042538107088E-2"/>
              <c:y val="-3.523194362888947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9.2165898617512648E-3"/>
              <c:y val="3.523194362889040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6.735200283587337E-3"/>
              <c:y val="1.174398120963106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5076214108473821E-3"/>
              <c:y val="-4.69759248385214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7.7986529599433866E-3"/>
              <c:y val="4.6975924838520543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Gols_Marcados_x_Sofridos!$B$2</c:f>
              <c:strCache>
                <c:ptCount val="1"/>
                <c:pt idx="0">
                  <c:v>Gols Sofridos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0-9277-46E6-A9B0-17D7951D9CB7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1BE2-4DFB-AFC5-F4D04CD99C8A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D-9277-46E6-A9B0-17D7951D9CB7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1BE2-4DFB-AFC5-F4D04CD99C8A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6-9277-46E6-A9B0-17D7951D9CB7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4-9277-46E6-A9B0-17D7951D9CB7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2-9277-46E6-A9B0-17D7951D9CB7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F-9277-46E6-A9B0-17D7951D9CB7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E-9277-46E6-A9B0-17D7951D9CB7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9277-46E6-A9B0-17D7951D9CB7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9277-46E6-A9B0-17D7951D9CB7}"/>
              </c:ext>
            </c:extLst>
          </c:dPt>
          <c:dPt>
            <c:idx val="1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9277-46E6-A9B0-17D7951D9CB7}"/>
              </c:ext>
            </c:extLst>
          </c:dPt>
          <c:dPt>
            <c:idx val="1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9277-46E6-A9B0-17D7951D9CB7}"/>
              </c:ext>
            </c:extLst>
          </c:dPt>
          <c:dPt>
            <c:idx val="1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9277-46E6-A9B0-17D7951D9CB7}"/>
              </c:ext>
            </c:extLst>
          </c:dPt>
          <c:dLbls>
            <c:dLbl>
              <c:idx val="0"/>
              <c:layout>
                <c:manualLayout>
                  <c:x val="-8.8621056362992098E-3"/>
                  <c:y val="1.761597181444427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9277-46E6-A9B0-17D7951D9CB7}"/>
                </c:ext>
              </c:extLst>
            </c:dLbl>
            <c:dLbl>
              <c:idx val="4"/>
              <c:layout>
                <c:manualLayout>
                  <c:x val="-8.1531371853952716E-3"/>
                  <c:y val="1.174398120963013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BE2-4DFB-AFC5-F4D04CD99C8A}"/>
                </c:ext>
              </c:extLst>
            </c:dLbl>
            <c:dLbl>
              <c:idx val="6"/>
              <c:layout>
                <c:manualLayout>
                  <c:x val="-7.0610931698054996E-3"/>
                  <c:y val="3.078027275647474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9277-46E6-A9B0-17D7951D9CB7}"/>
                </c:ext>
              </c:extLst>
            </c:dLbl>
            <c:dLbl>
              <c:idx val="7"/>
              <c:layout>
                <c:manualLayout>
                  <c:x val="-8.1760071354244346E-3"/>
                  <c:y val="6.1561191824672221E-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BE2-4DFB-AFC5-F4D04CD99C8A}"/>
                </c:ext>
              </c:extLst>
            </c:dLbl>
            <c:dLbl>
              <c:idx val="10"/>
              <c:layout>
                <c:manualLayout>
                  <c:x val="-9.2165898617512648E-3"/>
                  <c:y val="2.348796241926003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9277-46E6-A9B0-17D7951D9CB7}"/>
                </c:ext>
              </c:extLst>
            </c:dLbl>
            <c:dLbl>
              <c:idx val="11"/>
              <c:layout>
                <c:manualLayout>
                  <c:x val="-6.3807160581353956E-3"/>
                  <c:y val="5.8719906048150679E-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9277-46E6-A9B0-17D7951D9CB7}"/>
                </c:ext>
              </c:extLst>
            </c:dLbl>
            <c:dLbl>
              <c:idx val="12"/>
              <c:layout>
                <c:manualLayout>
                  <c:x val="-9.2165898617512648E-3"/>
                  <c:y val="3.523194362889040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9277-46E6-A9B0-17D7951D9CB7}"/>
                </c:ext>
              </c:extLst>
            </c:dLbl>
            <c:dLbl>
              <c:idx val="13"/>
              <c:layout>
                <c:manualLayout>
                  <c:x val="-9.2165898617511521E-3"/>
                  <c:y val="5.8719906048150679E-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277-46E6-A9B0-17D7951D9CB7}"/>
                </c:ext>
              </c:extLst>
            </c:dLbl>
            <c:dLbl>
              <c:idx val="14"/>
              <c:layout>
                <c:manualLayout>
                  <c:x val="-5.6717476072315129E-3"/>
                  <c:y val="6.459189665296458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277-46E6-A9B0-17D7951D9CB7}"/>
                </c:ext>
              </c:extLst>
            </c:dLbl>
            <c:dLbl>
              <c:idx val="15"/>
              <c:layout>
                <c:manualLayout>
                  <c:x val="-7.7986529599433866E-3"/>
                  <c:y val="4.697592483852054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277-46E6-A9B0-17D7951D9CB7}"/>
                </c:ext>
              </c:extLst>
            </c:dLbl>
            <c:dLbl>
              <c:idx val="16"/>
              <c:layout>
                <c:manualLayout>
                  <c:x val="-7.0896845090392784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277-46E6-A9B0-17D7951D9CB7}"/>
                </c:ext>
              </c:extLst>
            </c:dLbl>
            <c:dLbl>
              <c:idx val="17"/>
              <c:layout>
                <c:manualLayout>
                  <c:x val="-8.1760071354244346E-3"/>
                  <c:y val="6.1561191824672221E-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277-46E6-A9B0-17D7951D9CB7}"/>
                </c:ext>
              </c:extLst>
            </c:dLbl>
            <c:dLbl>
              <c:idx val="18"/>
              <c:layout>
                <c:manualLayout>
                  <c:x val="-6.0262318326834543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277-46E6-A9B0-17D7951D9CB7}"/>
                </c:ext>
              </c:extLst>
            </c:dLbl>
            <c:dLbl>
              <c:idx val="19"/>
              <c:layout>
                <c:manualLayout>
                  <c:x val="-6.3178236955552395E-3"/>
                  <c:y val="-6.1561191824681546E-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277-46E6-A9B0-17D7951D9CB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Gols_Marcados_x_Sofridos!$A$3:$A$23</c:f>
              <c:strCache>
                <c:ptCount val="20"/>
                <c:pt idx="0">
                  <c:v>Corinthians</c:v>
                </c:pt>
                <c:pt idx="1">
                  <c:v>Palmeiras</c:v>
                </c:pt>
                <c:pt idx="2">
                  <c:v>Fortaleza</c:v>
                </c:pt>
                <c:pt idx="3">
                  <c:v>Sao Paulo</c:v>
                </c:pt>
                <c:pt idx="4">
                  <c:v>Botafogo RJ</c:v>
                </c:pt>
                <c:pt idx="5">
                  <c:v>Internacional</c:v>
                </c:pt>
                <c:pt idx="6">
                  <c:v>Flamengo RJ</c:v>
                </c:pt>
                <c:pt idx="7">
                  <c:v>Cruzeiro</c:v>
                </c:pt>
                <c:pt idx="8">
                  <c:v>Vasco</c:v>
                </c:pt>
                <c:pt idx="9">
                  <c:v>Juventude</c:v>
                </c:pt>
                <c:pt idx="10">
                  <c:v>Atletico-MG</c:v>
                </c:pt>
                <c:pt idx="11">
                  <c:v>Bragantino</c:v>
                </c:pt>
                <c:pt idx="12">
                  <c:v>Gremio</c:v>
                </c:pt>
                <c:pt idx="13">
                  <c:v>Bahia</c:v>
                </c:pt>
                <c:pt idx="14">
                  <c:v>Athletico-PR</c:v>
                </c:pt>
                <c:pt idx="15">
                  <c:v>Vitoria</c:v>
                </c:pt>
                <c:pt idx="16">
                  <c:v>Criciuma</c:v>
                </c:pt>
                <c:pt idx="17">
                  <c:v>Fluminense</c:v>
                </c:pt>
                <c:pt idx="18">
                  <c:v>Atletico GO</c:v>
                </c:pt>
                <c:pt idx="19">
                  <c:v>Cuiaba</c:v>
                </c:pt>
              </c:strCache>
            </c:strRef>
          </c:cat>
          <c:val>
            <c:numRef>
              <c:f>Gols_Marcados_x_Sofridos!$B$3:$B$23</c:f>
              <c:numCache>
                <c:formatCode>General</c:formatCode>
                <c:ptCount val="20"/>
                <c:pt idx="0">
                  <c:v>18</c:v>
                </c:pt>
                <c:pt idx="1">
                  <c:v>16</c:v>
                </c:pt>
                <c:pt idx="2">
                  <c:v>8</c:v>
                </c:pt>
                <c:pt idx="3">
                  <c:v>18</c:v>
                </c:pt>
                <c:pt idx="4">
                  <c:v>13</c:v>
                </c:pt>
                <c:pt idx="5">
                  <c:v>15</c:v>
                </c:pt>
                <c:pt idx="6">
                  <c:v>21</c:v>
                </c:pt>
                <c:pt idx="7">
                  <c:v>16</c:v>
                </c:pt>
                <c:pt idx="8">
                  <c:v>24</c:v>
                </c:pt>
                <c:pt idx="9">
                  <c:v>24</c:v>
                </c:pt>
                <c:pt idx="10">
                  <c:v>26</c:v>
                </c:pt>
                <c:pt idx="11">
                  <c:v>19</c:v>
                </c:pt>
                <c:pt idx="12">
                  <c:v>26</c:v>
                </c:pt>
                <c:pt idx="13">
                  <c:v>15</c:v>
                </c:pt>
                <c:pt idx="14">
                  <c:v>21</c:v>
                </c:pt>
                <c:pt idx="15">
                  <c:v>23</c:v>
                </c:pt>
                <c:pt idx="16">
                  <c:v>27</c:v>
                </c:pt>
                <c:pt idx="17">
                  <c:v>16</c:v>
                </c:pt>
                <c:pt idx="18">
                  <c:v>24</c:v>
                </c:pt>
                <c:pt idx="19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77-46E6-A9B0-17D7951D9CB7}"/>
            </c:ext>
          </c:extLst>
        </c:ser>
        <c:ser>
          <c:idx val="1"/>
          <c:order val="1"/>
          <c:tx>
            <c:strRef>
              <c:f>Gols_Marcados_x_Sofridos!$C$2</c:f>
              <c:strCache>
                <c:ptCount val="1"/>
                <c:pt idx="0">
                  <c:v>Gols Marcados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F-9277-46E6-A9B0-17D7951D9CB7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1BE2-4DFB-AFC5-F4D04CD99C8A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E-9277-46E6-A9B0-17D7951D9CB7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C-9277-46E6-A9B0-17D7951D9CB7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B-9277-46E6-A9B0-17D7951D9CB7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5-9277-46E6-A9B0-17D7951D9CB7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3-9277-46E6-A9B0-17D7951D9CB7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1-9277-46E6-A9B0-17D7951D9CB7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0-9277-46E6-A9B0-17D7951D9CB7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9277-46E6-A9B0-17D7951D9CB7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1BE2-4DFB-AFC5-F4D04CD99C8A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9277-46E6-A9B0-17D7951D9CB7}"/>
              </c:ext>
            </c:extLst>
          </c:dPt>
          <c:dPt>
            <c:idx val="1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9277-46E6-A9B0-17D7951D9CB7}"/>
              </c:ext>
            </c:extLst>
          </c:dPt>
          <c:dPt>
            <c:idx val="1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9277-46E6-A9B0-17D7951D9CB7}"/>
              </c:ext>
            </c:extLst>
          </c:dPt>
          <c:dLbls>
            <c:dLbl>
              <c:idx val="0"/>
              <c:layout>
                <c:manualLayout>
                  <c:x val="-7.4441687344914452E-3"/>
                  <c:y val="2.348796241925980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9277-46E6-A9B0-17D7951D9CB7}"/>
                </c:ext>
              </c:extLst>
            </c:dLbl>
            <c:dLbl>
              <c:idx val="2"/>
              <c:layout>
                <c:manualLayout>
                  <c:x val="-7.8254064863923535E-3"/>
                  <c:y val="1.440299582313189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BE2-4DFB-AFC5-F4D04CD99C8A}"/>
                </c:ext>
              </c:extLst>
            </c:dLbl>
            <c:dLbl>
              <c:idx val="5"/>
              <c:layout>
                <c:manualLayout>
                  <c:x val="-6.735200283587337E-3"/>
                  <c:y val="1.174398120963106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9277-46E6-A9B0-17D7951D9CB7}"/>
                </c:ext>
              </c:extLst>
            </c:dLbl>
            <c:dLbl>
              <c:idx val="6"/>
              <c:layout>
                <c:manualLayout>
                  <c:x val="-7.0610970715031208E-3"/>
                  <c:y val="3.078059591233704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9277-46E6-A9B0-17D7951D9CB7}"/>
                </c:ext>
              </c:extLst>
            </c:dLbl>
            <c:dLbl>
              <c:idx val="7"/>
              <c:layout>
                <c:manualLayout>
                  <c:x val="-3.8993264799718061E-3"/>
                  <c:y val="1.761597181444520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9277-46E6-A9B0-17D7951D9CB7}"/>
                </c:ext>
              </c:extLst>
            </c:dLbl>
            <c:dLbl>
              <c:idx val="10"/>
              <c:layout>
                <c:manualLayout>
                  <c:x val="-5.6717476072315129E-3"/>
                  <c:y val="-5.8719906048155341E-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277-46E6-A9B0-17D7951D9CB7}"/>
                </c:ext>
              </c:extLst>
            </c:dLbl>
            <c:dLbl>
              <c:idx val="11"/>
              <c:layout>
                <c:manualLayout>
                  <c:x val="-7.0896845090392784E-3"/>
                  <c:y val="1.761597181444520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9277-46E6-A9B0-17D7951D9CB7}"/>
                </c:ext>
              </c:extLst>
            </c:dLbl>
            <c:dLbl>
              <c:idx val="12"/>
              <c:layout>
                <c:manualLayout>
                  <c:x val="-1.0280042538107088E-2"/>
                  <c:y val="-3.523194362888947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277-46E6-A9B0-17D7951D9CB7}"/>
                </c:ext>
              </c:extLst>
            </c:dLbl>
            <c:dLbl>
              <c:idx val="13"/>
              <c:layout>
                <c:manualLayout>
                  <c:x val="-9.5710740872029815E-3"/>
                  <c:y val="1.761597181444520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9277-46E6-A9B0-17D7951D9CB7}"/>
                </c:ext>
              </c:extLst>
            </c:dLbl>
            <c:dLbl>
              <c:idx val="14"/>
              <c:layout>
                <c:manualLayout>
                  <c:x val="-6.3807160581355084E-3"/>
                  <c:y val="1.761597181444520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277-46E6-A9B0-17D7951D9CB7}"/>
                </c:ext>
              </c:extLst>
            </c:dLbl>
            <c:dLbl>
              <c:idx val="15"/>
              <c:layout>
                <c:manualLayout>
                  <c:x val="-8.5076214108473821E-3"/>
                  <c:y val="-4.69759248385214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BE2-4DFB-AFC5-F4D04CD99C8A}"/>
                </c:ext>
              </c:extLst>
            </c:dLbl>
            <c:dLbl>
              <c:idx val="16"/>
              <c:layout>
                <c:manualLayout>
                  <c:x val="-7.0896845090392784E-3"/>
                  <c:y val="-4.11039342337064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277-46E6-A9B0-17D7951D9CB7}"/>
                </c:ext>
              </c:extLst>
            </c:dLbl>
            <c:dLbl>
              <c:idx val="17"/>
              <c:layout>
                <c:manualLayout>
                  <c:x val="-7.4327337594767787E-3"/>
                  <c:y val="1.231223836493537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277-46E6-A9B0-17D7951D9CB7}"/>
                </c:ext>
              </c:extLst>
            </c:dLbl>
            <c:dLbl>
              <c:idx val="19"/>
              <c:layout>
                <c:manualLayout>
                  <c:x val="-5.2029136316338129E-3"/>
                  <c:y val="-1.231223836493537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277-46E6-A9B0-17D7951D9CB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Gols_Marcados_x_Sofridos!$A$3:$A$23</c:f>
              <c:strCache>
                <c:ptCount val="20"/>
                <c:pt idx="0">
                  <c:v>Corinthians</c:v>
                </c:pt>
                <c:pt idx="1">
                  <c:v>Palmeiras</c:v>
                </c:pt>
                <c:pt idx="2">
                  <c:v>Fortaleza</c:v>
                </c:pt>
                <c:pt idx="3">
                  <c:v>Sao Paulo</c:v>
                </c:pt>
                <c:pt idx="4">
                  <c:v>Botafogo RJ</c:v>
                </c:pt>
                <c:pt idx="5">
                  <c:v>Internacional</c:v>
                </c:pt>
                <c:pt idx="6">
                  <c:v>Flamengo RJ</c:v>
                </c:pt>
                <c:pt idx="7">
                  <c:v>Cruzeiro</c:v>
                </c:pt>
                <c:pt idx="8">
                  <c:v>Vasco</c:v>
                </c:pt>
                <c:pt idx="9">
                  <c:v>Juventude</c:v>
                </c:pt>
                <c:pt idx="10">
                  <c:v>Atletico-MG</c:v>
                </c:pt>
                <c:pt idx="11">
                  <c:v>Bragantino</c:v>
                </c:pt>
                <c:pt idx="12">
                  <c:v>Gremio</c:v>
                </c:pt>
                <c:pt idx="13">
                  <c:v>Bahia</c:v>
                </c:pt>
                <c:pt idx="14">
                  <c:v>Athletico-PR</c:v>
                </c:pt>
                <c:pt idx="15">
                  <c:v>Vitoria</c:v>
                </c:pt>
                <c:pt idx="16">
                  <c:v>Criciuma</c:v>
                </c:pt>
                <c:pt idx="17">
                  <c:v>Fluminense</c:v>
                </c:pt>
                <c:pt idx="18">
                  <c:v>Atletico GO</c:v>
                </c:pt>
                <c:pt idx="19">
                  <c:v>Cuiaba</c:v>
                </c:pt>
              </c:strCache>
            </c:strRef>
          </c:cat>
          <c:val>
            <c:numRef>
              <c:f>Gols_Marcados_x_Sofridos!$C$3:$C$23</c:f>
              <c:numCache>
                <c:formatCode>General</c:formatCode>
                <c:ptCount val="20"/>
                <c:pt idx="0">
                  <c:v>37</c:v>
                </c:pt>
                <c:pt idx="1">
                  <c:v>34</c:v>
                </c:pt>
                <c:pt idx="2">
                  <c:v>32</c:v>
                </c:pt>
                <c:pt idx="3">
                  <c:v>31</c:v>
                </c:pt>
                <c:pt idx="4">
                  <c:v>31</c:v>
                </c:pt>
                <c:pt idx="5">
                  <c:v>30</c:v>
                </c:pt>
                <c:pt idx="6">
                  <c:v>30</c:v>
                </c:pt>
                <c:pt idx="7">
                  <c:v>29</c:v>
                </c:pt>
                <c:pt idx="8">
                  <c:v>29</c:v>
                </c:pt>
                <c:pt idx="9">
                  <c:v>27</c:v>
                </c:pt>
                <c:pt idx="10">
                  <c:v>27</c:v>
                </c:pt>
                <c:pt idx="11">
                  <c:v>27</c:v>
                </c:pt>
                <c:pt idx="12">
                  <c:v>26</c:v>
                </c:pt>
                <c:pt idx="13">
                  <c:v>25</c:v>
                </c:pt>
                <c:pt idx="14">
                  <c:v>24</c:v>
                </c:pt>
                <c:pt idx="15">
                  <c:v>23</c:v>
                </c:pt>
                <c:pt idx="16">
                  <c:v>22</c:v>
                </c:pt>
                <c:pt idx="17">
                  <c:v>20</c:v>
                </c:pt>
                <c:pt idx="18">
                  <c:v>16</c:v>
                </c:pt>
                <c:pt idx="19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77-46E6-A9B0-17D7951D9C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5"/>
        <c:axId val="1806162439"/>
        <c:axId val="1810442759"/>
      </c:barChart>
      <c:catAx>
        <c:axId val="1806162439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442759"/>
        <c:crosses val="autoZero"/>
        <c:auto val="1"/>
        <c:lblAlgn val="ctr"/>
        <c:lblOffset val="100"/>
        <c:noMultiLvlLbl val="0"/>
      </c:catAx>
      <c:valAx>
        <c:axId val="1810442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162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- Brasileirão Serie A 2024.xlsx]Resultados!Tabela Dinâmica3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Resultados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Resultados!$B$2:$B$3</c:f>
              <c:strCache>
                <c:ptCount val="1"/>
                <c:pt idx="0">
                  <c:v>Derrotas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Resultados!$A$4:$A$24</c:f>
              <c:strCache>
                <c:ptCount val="20"/>
                <c:pt idx="0">
                  <c:v>Athletico-PR</c:v>
                </c:pt>
                <c:pt idx="1">
                  <c:v>Atletico GO</c:v>
                </c:pt>
                <c:pt idx="2">
                  <c:v>Atletico-MG</c:v>
                </c:pt>
                <c:pt idx="3">
                  <c:v>Bahia</c:v>
                </c:pt>
                <c:pt idx="4">
                  <c:v>Botafogo RJ</c:v>
                </c:pt>
                <c:pt idx="5">
                  <c:v>Bragantino</c:v>
                </c:pt>
                <c:pt idx="6">
                  <c:v>Corinthians</c:v>
                </c:pt>
                <c:pt idx="7">
                  <c:v>Criciuma</c:v>
                </c:pt>
                <c:pt idx="8">
                  <c:v>Cruzeiro</c:v>
                </c:pt>
                <c:pt idx="9">
                  <c:v>Cuiaba</c:v>
                </c:pt>
                <c:pt idx="10">
                  <c:v>Flamengo RJ</c:v>
                </c:pt>
                <c:pt idx="11">
                  <c:v>Fluminense</c:v>
                </c:pt>
                <c:pt idx="12">
                  <c:v>Fortaleza</c:v>
                </c:pt>
                <c:pt idx="13">
                  <c:v>Gremio</c:v>
                </c:pt>
                <c:pt idx="14">
                  <c:v>Internacional</c:v>
                </c:pt>
                <c:pt idx="15">
                  <c:v>Juventude</c:v>
                </c:pt>
                <c:pt idx="16">
                  <c:v>Palmeiras</c:v>
                </c:pt>
                <c:pt idx="17">
                  <c:v>Sao Paulo</c:v>
                </c:pt>
                <c:pt idx="18">
                  <c:v>Vasco</c:v>
                </c:pt>
                <c:pt idx="19">
                  <c:v>Vitoria</c:v>
                </c:pt>
              </c:strCache>
            </c:strRef>
          </c:cat>
          <c:val>
            <c:numRef>
              <c:f>Resultados!$B$4:$B$24</c:f>
              <c:numCache>
                <c:formatCode>General</c:formatCode>
                <c:ptCount val="20"/>
                <c:pt idx="0">
                  <c:v>8</c:v>
                </c:pt>
                <c:pt idx="1">
                  <c:v>9</c:v>
                </c:pt>
                <c:pt idx="2">
                  <c:v>5</c:v>
                </c:pt>
                <c:pt idx="3">
                  <c:v>5</c:v>
                </c:pt>
                <c:pt idx="4">
                  <c:v>2</c:v>
                </c:pt>
                <c:pt idx="5">
                  <c:v>4</c:v>
                </c:pt>
                <c:pt idx="6">
                  <c:v>1</c:v>
                </c:pt>
                <c:pt idx="7">
                  <c:v>6</c:v>
                </c:pt>
                <c:pt idx="8">
                  <c:v>4</c:v>
                </c:pt>
                <c:pt idx="9">
                  <c:v>11</c:v>
                </c:pt>
                <c:pt idx="10">
                  <c:v>3</c:v>
                </c:pt>
                <c:pt idx="11">
                  <c:v>4</c:v>
                </c:pt>
                <c:pt idx="13">
                  <c:v>8</c:v>
                </c:pt>
                <c:pt idx="14">
                  <c:v>3</c:v>
                </c:pt>
                <c:pt idx="15">
                  <c:v>5</c:v>
                </c:pt>
                <c:pt idx="16">
                  <c:v>5</c:v>
                </c:pt>
                <c:pt idx="17">
                  <c:v>4</c:v>
                </c:pt>
                <c:pt idx="18">
                  <c:v>4</c:v>
                </c:pt>
                <c:pt idx="1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17-44F1-9018-D0AFC90E5E2D}"/>
            </c:ext>
          </c:extLst>
        </c:ser>
        <c:ser>
          <c:idx val="1"/>
          <c:order val="1"/>
          <c:tx>
            <c:strRef>
              <c:f>Resultados!$C$2:$C$3</c:f>
              <c:strCache>
                <c:ptCount val="1"/>
                <c:pt idx="0">
                  <c:v>Empates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Resultados!$A$4:$A$24</c:f>
              <c:strCache>
                <c:ptCount val="20"/>
                <c:pt idx="0">
                  <c:v>Athletico-PR</c:v>
                </c:pt>
                <c:pt idx="1">
                  <c:v>Atletico GO</c:v>
                </c:pt>
                <c:pt idx="2">
                  <c:v>Atletico-MG</c:v>
                </c:pt>
                <c:pt idx="3">
                  <c:v>Bahia</c:v>
                </c:pt>
                <c:pt idx="4">
                  <c:v>Botafogo RJ</c:v>
                </c:pt>
                <c:pt idx="5">
                  <c:v>Bragantino</c:v>
                </c:pt>
                <c:pt idx="6">
                  <c:v>Corinthians</c:v>
                </c:pt>
                <c:pt idx="7">
                  <c:v>Criciuma</c:v>
                </c:pt>
                <c:pt idx="8">
                  <c:v>Cruzeiro</c:v>
                </c:pt>
                <c:pt idx="9">
                  <c:v>Cuiaba</c:v>
                </c:pt>
                <c:pt idx="10">
                  <c:v>Flamengo RJ</c:v>
                </c:pt>
                <c:pt idx="11">
                  <c:v>Fluminense</c:v>
                </c:pt>
                <c:pt idx="12">
                  <c:v>Fortaleza</c:v>
                </c:pt>
                <c:pt idx="13">
                  <c:v>Gremio</c:v>
                </c:pt>
                <c:pt idx="14">
                  <c:v>Internacional</c:v>
                </c:pt>
                <c:pt idx="15">
                  <c:v>Juventude</c:v>
                </c:pt>
                <c:pt idx="16">
                  <c:v>Palmeiras</c:v>
                </c:pt>
                <c:pt idx="17">
                  <c:v>Sao Paulo</c:v>
                </c:pt>
                <c:pt idx="18">
                  <c:v>Vasco</c:v>
                </c:pt>
                <c:pt idx="19">
                  <c:v>Vitoria</c:v>
                </c:pt>
              </c:strCache>
            </c:strRef>
          </c:cat>
          <c:val>
            <c:numRef>
              <c:f>Resultados!$C$4:$C$24</c:f>
              <c:numCache>
                <c:formatCode>General</c:formatCode>
                <c:ptCount val="20"/>
                <c:pt idx="0">
                  <c:v>4</c:v>
                </c:pt>
                <c:pt idx="1">
                  <c:v>5</c:v>
                </c:pt>
                <c:pt idx="2">
                  <c:v>7</c:v>
                </c:pt>
                <c:pt idx="3">
                  <c:v>3</c:v>
                </c:pt>
                <c:pt idx="4">
                  <c:v>5</c:v>
                </c:pt>
                <c:pt idx="5">
                  <c:v>7</c:v>
                </c:pt>
                <c:pt idx="6">
                  <c:v>8</c:v>
                </c:pt>
                <c:pt idx="7">
                  <c:v>8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8</c:v>
                </c:pt>
                <c:pt idx="12">
                  <c:v>5</c:v>
                </c:pt>
                <c:pt idx="13">
                  <c:v>2</c:v>
                </c:pt>
                <c:pt idx="14">
                  <c:v>5</c:v>
                </c:pt>
                <c:pt idx="15">
                  <c:v>6</c:v>
                </c:pt>
                <c:pt idx="16">
                  <c:v>2</c:v>
                </c:pt>
                <c:pt idx="17">
                  <c:v>3</c:v>
                </c:pt>
                <c:pt idx="18">
                  <c:v>5</c:v>
                </c:pt>
                <c:pt idx="1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17-44F1-9018-D0AFC90E5E2D}"/>
            </c:ext>
          </c:extLst>
        </c:ser>
        <c:ser>
          <c:idx val="2"/>
          <c:order val="2"/>
          <c:tx>
            <c:strRef>
              <c:f>Resultados!$D$2:$D$3</c:f>
              <c:strCache>
                <c:ptCount val="1"/>
                <c:pt idx="0">
                  <c:v>Vitórias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Resultados!$A$4:$A$24</c:f>
              <c:strCache>
                <c:ptCount val="20"/>
                <c:pt idx="0">
                  <c:v>Athletico-PR</c:v>
                </c:pt>
                <c:pt idx="1">
                  <c:v>Atletico GO</c:v>
                </c:pt>
                <c:pt idx="2">
                  <c:v>Atletico-MG</c:v>
                </c:pt>
                <c:pt idx="3">
                  <c:v>Bahia</c:v>
                </c:pt>
                <c:pt idx="4">
                  <c:v>Botafogo RJ</c:v>
                </c:pt>
                <c:pt idx="5">
                  <c:v>Bragantino</c:v>
                </c:pt>
                <c:pt idx="6">
                  <c:v>Corinthians</c:v>
                </c:pt>
                <c:pt idx="7">
                  <c:v>Criciuma</c:v>
                </c:pt>
                <c:pt idx="8">
                  <c:v>Cruzeiro</c:v>
                </c:pt>
                <c:pt idx="9">
                  <c:v>Cuiaba</c:v>
                </c:pt>
                <c:pt idx="10">
                  <c:v>Flamengo RJ</c:v>
                </c:pt>
                <c:pt idx="11">
                  <c:v>Fluminense</c:v>
                </c:pt>
                <c:pt idx="12">
                  <c:v>Fortaleza</c:v>
                </c:pt>
                <c:pt idx="13">
                  <c:v>Gremio</c:v>
                </c:pt>
                <c:pt idx="14">
                  <c:v>Internacional</c:v>
                </c:pt>
                <c:pt idx="15">
                  <c:v>Juventude</c:v>
                </c:pt>
                <c:pt idx="16">
                  <c:v>Palmeiras</c:v>
                </c:pt>
                <c:pt idx="17">
                  <c:v>Sao Paulo</c:v>
                </c:pt>
                <c:pt idx="18">
                  <c:v>Vasco</c:v>
                </c:pt>
                <c:pt idx="19">
                  <c:v>Vitoria</c:v>
                </c:pt>
              </c:strCache>
            </c:strRef>
          </c:cat>
          <c:val>
            <c:numRef>
              <c:f>Resultados!$D$4:$D$24</c:f>
              <c:numCache>
                <c:formatCode>General</c:formatCode>
                <c:ptCount val="20"/>
                <c:pt idx="0">
                  <c:v>7</c:v>
                </c:pt>
                <c:pt idx="1">
                  <c:v>5</c:v>
                </c:pt>
                <c:pt idx="2">
                  <c:v>7</c:v>
                </c:pt>
                <c:pt idx="3">
                  <c:v>11</c:v>
                </c:pt>
                <c:pt idx="4">
                  <c:v>12</c:v>
                </c:pt>
                <c:pt idx="5">
                  <c:v>8</c:v>
                </c:pt>
                <c:pt idx="6">
                  <c:v>10</c:v>
                </c:pt>
                <c:pt idx="7">
                  <c:v>5</c:v>
                </c:pt>
                <c:pt idx="8">
                  <c:v>10</c:v>
                </c:pt>
                <c:pt idx="9">
                  <c:v>3</c:v>
                </c:pt>
                <c:pt idx="10">
                  <c:v>11</c:v>
                </c:pt>
                <c:pt idx="11">
                  <c:v>7</c:v>
                </c:pt>
                <c:pt idx="12">
                  <c:v>14</c:v>
                </c:pt>
                <c:pt idx="13">
                  <c:v>9</c:v>
                </c:pt>
                <c:pt idx="14">
                  <c:v>11</c:v>
                </c:pt>
                <c:pt idx="15">
                  <c:v>8</c:v>
                </c:pt>
                <c:pt idx="16">
                  <c:v>12</c:v>
                </c:pt>
                <c:pt idx="17">
                  <c:v>12</c:v>
                </c:pt>
                <c:pt idx="18">
                  <c:v>10</c:v>
                </c:pt>
                <c:pt idx="1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B17-44F1-9018-D0AFC90E5E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827139591"/>
        <c:axId val="1827142663"/>
      </c:barChart>
      <c:catAx>
        <c:axId val="1827139591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7142663"/>
        <c:crosses val="autoZero"/>
        <c:auto val="1"/>
        <c:lblAlgn val="ctr"/>
        <c:lblOffset val="100"/>
        <c:noMultiLvlLbl val="0"/>
      </c:catAx>
      <c:valAx>
        <c:axId val="1827142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7139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121212546179246"/>
          <c:y val="0.93132735853670479"/>
          <c:w val="0.37009796666982891"/>
          <c:h val="5.45689913760779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- Brasileirão Serie A 2024.xlsx]Rodadas com mais Gols!Tabela Dinâmica4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Resumo rodadas com mais gols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'Rodadas com mais Gols'!$B$2</c:f>
              <c:strCache>
                <c:ptCount val="1"/>
                <c:pt idx="0">
                  <c:v>Soma de HG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'Rodadas com mais Gols'!$A$3:$A$13</c:f>
              <c:strCache>
                <c:ptCount val="10"/>
                <c:pt idx="0">
                  <c:v>08/12/2024</c:v>
                </c:pt>
                <c:pt idx="1">
                  <c:v>07/07/2024</c:v>
                </c:pt>
                <c:pt idx="2">
                  <c:v>15/09/2024</c:v>
                </c:pt>
                <c:pt idx="3">
                  <c:v>26/10/2024</c:v>
                </c:pt>
                <c:pt idx="4">
                  <c:v>23/06/2024</c:v>
                </c:pt>
                <c:pt idx="5">
                  <c:v>16/06/2024</c:v>
                </c:pt>
                <c:pt idx="6">
                  <c:v>01/09/2024</c:v>
                </c:pt>
                <c:pt idx="7">
                  <c:v>14/04/2024</c:v>
                </c:pt>
                <c:pt idx="8">
                  <c:v>04/07/2024</c:v>
                </c:pt>
                <c:pt idx="9">
                  <c:v>11/08/2024</c:v>
                </c:pt>
              </c:strCache>
            </c:strRef>
          </c:cat>
          <c:val>
            <c:numRef>
              <c:f>'Rodadas com mais Gols'!$B$3:$B$13</c:f>
              <c:numCache>
                <c:formatCode>General</c:formatCode>
                <c:ptCount val="10"/>
                <c:pt idx="0">
                  <c:v>16</c:v>
                </c:pt>
                <c:pt idx="1">
                  <c:v>16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14</c:v>
                </c:pt>
                <c:pt idx="6">
                  <c:v>14</c:v>
                </c:pt>
                <c:pt idx="7">
                  <c:v>13</c:v>
                </c:pt>
                <c:pt idx="8">
                  <c:v>13</c:v>
                </c:pt>
                <c:pt idx="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F5-4DD0-83EC-6E87D7516F98}"/>
            </c:ext>
          </c:extLst>
        </c:ser>
        <c:ser>
          <c:idx val="1"/>
          <c:order val="1"/>
          <c:tx>
            <c:strRef>
              <c:f>'Rodadas com mais Gols'!$C$2</c:f>
              <c:strCache>
                <c:ptCount val="1"/>
                <c:pt idx="0">
                  <c:v>Soma de AG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'Rodadas com mais Gols'!$A$3:$A$13</c:f>
              <c:strCache>
                <c:ptCount val="10"/>
                <c:pt idx="0">
                  <c:v>08/12/2024</c:v>
                </c:pt>
                <c:pt idx="1">
                  <c:v>07/07/2024</c:v>
                </c:pt>
                <c:pt idx="2">
                  <c:v>15/09/2024</c:v>
                </c:pt>
                <c:pt idx="3">
                  <c:v>26/10/2024</c:v>
                </c:pt>
                <c:pt idx="4">
                  <c:v>23/06/2024</c:v>
                </c:pt>
                <c:pt idx="5">
                  <c:v>16/06/2024</c:v>
                </c:pt>
                <c:pt idx="6">
                  <c:v>01/09/2024</c:v>
                </c:pt>
                <c:pt idx="7">
                  <c:v>14/04/2024</c:v>
                </c:pt>
                <c:pt idx="8">
                  <c:v>04/07/2024</c:v>
                </c:pt>
                <c:pt idx="9">
                  <c:v>11/08/2024</c:v>
                </c:pt>
              </c:strCache>
            </c:strRef>
          </c:cat>
          <c:val>
            <c:numRef>
              <c:f>'Rodadas com mais Gols'!$C$3:$C$13</c:f>
              <c:numCache>
                <c:formatCode>General</c:formatCode>
                <c:ptCount val="10"/>
                <c:pt idx="0">
                  <c:v>11</c:v>
                </c:pt>
                <c:pt idx="1">
                  <c:v>6</c:v>
                </c:pt>
                <c:pt idx="2">
                  <c:v>6</c:v>
                </c:pt>
                <c:pt idx="3">
                  <c:v>10</c:v>
                </c:pt>
                <c:pt idx="4">
                  <c:v>7</c:v>
                </c:pt>
                <c:pt idx="5">
                  <c:v>10</c:v>
                </c:pt>
                <c:pt idx="6">
                  <c:v>12</c:v>
                </c:pt>
                <c:pt idx="7">
                  <c:v>10</c:v>
                </c:pt>
                <c:pt idx="8">
                  <c:v>9</c:v>
                </c:pt>
                <c:pt idx="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F5-4DD0-83EC-6E87D7516F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4"/>
        <c:axId val="1822828551"/>
        <c:axId val="1824811015"/>
      </c:barChart>
      <c:catAx>
        <c:axId val="18228285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811015"/>
        <c:crosses val="autoZero"/>
        <c:auto val="1"/>
        <c:lblAlgn val="ctr"/>
        <c:lblOffset val="100"/>
        <c:noMultiLvlLbl val="0"/>
      </c:catAx>
      <c:valAx>
        <c:axId val="1824811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828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- Brasileirão Serie A 2024.xlsx]Gols em casa!Tabela Dinâmica1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Gols em Casa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5B9BD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9BD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9BD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B9BD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9BD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'Gols em casa'!$B$2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9BD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'Gols em casa'!$A$3:$A$23</c:f>
              <c:strCache>
                <c:ptCount val="20"/>
                <c:pt idx="0">
                  <c:v>Corinthians</c:v>
                </c:pt>
                <c:pt idx="1">
                  <c:v>Palmeiras</c:v>
                </c:pt>
                <c:pt idx="2">
                  <c:v>Fortaleza</c:v>
                </c:pt>
                <c:pt idx="3">
                  <c:v>Botafogo RJ</c:v>
                </c:pt>
                <c:pt idx="4">
                  <c:v>Sao Paulo</c:v>
                </c:pt>
                <c:pt idx="5">
                  <c:v>Internacional</c:v>
                </c:pt>
                <c:pt idx="6">
                  <c:v>Flamengo RJ</c:v>
                </c:pt>
                <c:pt idx="7">
                  <c:v>Vasco</c:v>
                </c:pt>
                <c:pt idx="8">
                  <c:v>Cruzeiro</c:v>
                </c:pt>
                <c:pt idx="9">
                  <c:v>Atletico-MG</c:v>
                </c:pt>
                <c:pt idx="10">
                  <c:v>Bragantino</c:v>
                </c:pt>
                <c:pt idx="11">
                  <c:v>Juventude</c:v>
                </c:pt>
                <c:pt idx="12">
                  <c:v>Gremio</c:v>
                </c:pt>
                <c:pt idx="13">
                  <c:v>Bahia</c:v>
                </c:pt>
                <c:pt idx="14">
                  <c:v>Athletico-PR</c:v>
                </c:pt>
                <c:pt idx="15">
                  <c:v>Vitoria</c:v>
                </c:pt>
                <c:pt idx="16">
                  <c:v>Criciuma</c:v>
                </c:pt>
                <c:pt idx="17">
                  <c:v>Fluminense</c:v>
                </c:pt>
                <c:pt idx="18">
                  <c:v>Atletico GO</c:v>
                </c:pt>
                <c:pt idx="19">
                  <c:v>Cuiaba</c:v>
                </c:pt>
              </c:strCache>
            </c:strRef>
          </c:cat>
          <c:val>
            <c:numRef>
              <c:f>'Gols em casa'!$B$3:$B$23</c:f>
              <c:numCache>
                <c:formatCode>General</c:formatCode>
                <c:ptCount val="20"/>
                <c:pt idx="0">
                  <c:v>37</c:v>
                </c:pt>
                <c:pt idx="1">
                  <c:v>34</c:v>
                </c:pt>
                <c:pt idx="2">
                  <c:v>32</c:v>
                </c:pt>
                <c:pt idx="3">
                  <c:v>31</c:v>
                </c:pt>
                <c:pt idx="4">
                  <c:v>31</c:v>
                </c:pt>
                <c:pt idx="5">
                  <c:v>30</c:v>
                </c:pt>
                <c:pt idx="6">
                  <c:v>30</c:v>
                </c:pt>
                <c:pt idx="7">
                  <c:v>29</c:v>
                </c:pt>
                <c:pt idx="8">
                  <c:v>29</c:v>
                </c:pt>
                <c:pt idx="9">
                  <c:v>27</c:v>
                </c:pt>
                <c:pt idx="10">
                  <c:v>27</c:v>
                </c:pt>
                <c:pt idx="11">
                  <c:v>27</c:v>
                </c:pt>
                <c:pt idx="12">
                  <c:v>26</c:v>
                </c:pt>
                <c:pt idx="13">
                  <c:v>25</c:v>
                </c:pt>
                <c:pt idx="14">
                  <c:v>24</c:v>
                </c:pt>
                <c:pt idx="15">
                  <c:v>23</c:v>
                </c:pt>
                <c:pt idx="16">
                  <c:v>22</c:v>
                </c:pt>
                <c:pt idx="17">
                  <c:v>20</c:v>
                </c:pt>
                <c:pt idx="18">
                  <c:v>16</c:v>
                </c:pt>
                <c:pt idx="19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27-4FC7-BAB1-F3E951E267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3"/>
        <c:axId val="1819836935"/>
        <c:axId val="1819839495"/>
      </c:barChart>
      <c:catAx>
        <c:axId val="1819836935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839495"/>
        <c:crosses val="autoZero"/>
        <c:auto val="1"/>
        <c:lblAlgn val="ctr"/>
        <c:lblOffset val="100"/>
        <c:noMultiLvlLbl val="0"/>
      </c:catAx>
      <c:valAx>
        <c:axId val="1819839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836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- Brasileirão Serie A 2024.xlsx]Gols_Marcados_x_Sofridos!Tabela Dinâmica2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Gols Marcados x Gols Sofridos em Casa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5.6717476072315129E-3"/>
              <c:y val="6.4591896652964583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6.3807160581355084E-3"/>
              <c:y val="1.761597181444520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6.0262318326834543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5.6717476072315129E-3"/>
              <c:y val="-5.8719906048155341E-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9.2165898617512648E-3"/>
              <c:y val="2.348796241926003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9.5710740872029815E-3"/>
              <c:y val="1.761597181444520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9.2165898617511521E-3"/>
              <c:y val="5.8719906048150679E-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1531371853952716E-3"/>
              <c:y val="1.174398120963013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7.0896845090392784E-3"/>
              <c:y val="1.761597181444520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6.3807160581353956E-3"/>
              <c:y val="5.8719906048150679E-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8621056362992098E-3"/>
              <c:y val="1.761597181444427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7.4441687344914452E-3"/>
              <c:y val="2.348796241925980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7.0896845090392784E-3"/>
              <c:y val="-4.11039342337064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7.0896845090392784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3.8993264799718061E-3"/>
              <c:y val="1.761597181444520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1760071354244346E-3"/>
              <c:y val="6.1561191824672221E-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5.2029136316338129E-3"/>
              <c:y val="-1.231223836493537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6.3178236955552395E-3"/>
              <c:y val="-6.1561191824681546E-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7.0610931698054996E-3"/>
              <c:y val="3.078027275647474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7.0610970715031208E-3"/>
              <c:y val="3.078059591233704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7.4327337594767787E-3"/>
              <c:y val="1.231223836493537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1760071354244346E-3"/>
              <c:y val="6.1561191824672221E-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7.8254064863923535E-3"/>
              <c:y val="1.440299582313189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1.0280042538107088E-2"/>
              <c:y val="-3.523194362888947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9.2165898617512648E-3"/>
              <c:y val="3.523194362889040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6.735200283587337E-3"/>
              <c:y val="1.174398120963106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8.5076214108473821E-3"/>
              <c:y val="-4.69759248385214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7.7986529599433866E-3"/>
              <c:y val="4.6975924838520543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8621056362992098E-3"/>
              <c:y val="1.761597181444427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1531371853952716E-3"/>
              <c:y val="1.174398120963013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7.0610931698054996E-3"/>
              <c:y val="3.078027275647474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1760071354244346E-3"/>
              <c:y val="6.1561191824672221E-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9.2165898617512648E-3"/>
              <c:y val="2.348796241926003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6.3807160581353956E-3"/>
              <c:y val="5.8719906048150679E-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9.2165898617512648E-3"/>
              <c:y val="3.523194362889040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9.2165898617511521E-3"/>
              <c:y val="5.8719906048150679E-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5.6717476072315129E-3"/>
              <c:y val="6.4591896652964583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7.7986529599433866E-3"/>
              <c:y val="4.6975924838520543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7.0896845090392784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1760071354244346E-3"/>
              <c:y val="6.1561191824672221E-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6.0262318326834543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6.3178236955552395E-3"/>
              <c:y val="-6.1561191824681546E-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7.4441687344914452E-3"/>
              <c:y val="2.348796241925980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7.8254064863923535E-3"/>
              <c:y val="1.440299582313189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6.735200283587337E-3"/>
              <c:y val="1.174398120963106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7.0610970715031208E-3"/>
              <c:y val="3.078059591233704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3.8993264799718061E-3"/>
              <c:y val="1.761597181444520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5.6717476072315129E-3"/>
              <c:y val="-5.8719906048155341E-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7.0896845090392784E-3"/>
              <c:y val="1.761597181444520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1.0280042538107088E-2"/>
              <c:y val="-3.523194362888947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9.5710740872029815E-3"/>
              <c:y val="1.761597181444520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6.3807160581355084E-3"/>
              <c:y val="1.761597181444520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8.5076214108473821E-3"/>
              <c:y val="-4.69759248385214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7.0896845090392784E-3"/>
              <c:y val="-4.11039342337064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7.4327337594767787E-3"/>
              <c:y val="1.231223836493537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5.2029136316338129E-3"/>
              <c:y val="-1.231223836493537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8621056362992098E-3"/>
              <c:y val="1.761597181444427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1531371853952716E-3"/>
              <c:y val="1.174398120963013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7.0610931698054996E-3"/>
              <c:y val="3.078027275647474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1760071354244346E-3"/>
              <c:y val="6.1561191824672221E-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9.2165898617512648E-3"/>
              <c:y val="2.348796241926003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6.3807160581353956E-3"/>
              <c:y val="5.8719906048150679E-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9.2165898617512648E-3"/>
              <c:y val="3.523194362889040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9.2165898617511521E-3"/>
              <c:y val="5.8719906048150679E-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5.6717476072315129E-3"/>
              <c:y val="6.4591896652964583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7.7986529599433866E-3"/>
              <c:y val="4.6975924838520543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7.0896845090392784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1760071354244346E-3"/>
              <c:y val="6.1561191824672221E-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6.0262318326834543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6.3178236955552395E-3"/>
              <c:y val="-6.1561191824681546E-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7.4441687344914452E-3"/>
              <c:y val="2.348796241925980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7.8254064863923535E-3"/>
              <c:y val="1.440299582313189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6.735200283587337E-3"/>
              <c:y val="1.174398120963106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7.0610970715031208E-3"/>
              <c:y val="3.078059591233704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3.8993264799718061E-3"/>
              <c:y val="1.761597181444520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5.6717476072315129E-3"/>
              <c:y val="-5.8719906048155341E-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7.0896845090392784E-3"/>
              <c:y val="1.761597181444520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1.0280042538107088E-2"/>
              <c:y val="-3.523194362888947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9.5710740872029815E-3"/>
              <c:y val="1.761597181444520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6.3807160581355084E-3"/>
              <c:y val="1.761597181444520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8.5076214108473821E-3"/>
              <c:y val="-4.69759248385214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7.0896845090392784E-3"/>
              <c:y val="-4.11039342337064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7.4327337594767787E-3"/>
              <c:y val="1.231223836493537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5.2029136316338129E-3"/>
              <c:y val="-1.231223836493537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8621056362992098E-3"/>
              <c:y val="1.761597181444427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1531371853952716E-3"/>
              <c:y val="1.174398120963013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7.0610931698054996E-3"/>
              <c:y val="3.078027275647474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1760071354244346E-3"/>
              <c:y val="6.1561191824672221E-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9.2165898617512648E-3"/>
              <c:y val="2.348796241926003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6.3807160581353956E-3"/>
              <c:y val="5.8719906048150679E-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9.2165898617512648E-3"/>
              <c:y val="3.523194362889040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9.2165898617511521E-3"/>
              <c:y val="5.8719906048150679E-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5.6717476072315129E-3"/>
              <c:y val="6.4591896652964583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7.7986529599433866E-3"/>
              <c:y val="4.6975924838520543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7.0896845090392784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1760071354244346E-3"/>
              <c:y val="6.1561191824672221E-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6.0262318326834543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6.3178236955552395E-3"/>
              <c:y val="-6.1561191824681546E-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7.4441687344914452E-3"/>
              <c:y val="2.348796241925980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7.8254064863923535E-3"/>
              <c:y val="1.440299582313189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6.735200283587337E-3"/>
              <c:y val="1.174398120963106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7.0610970715031208E-3"/>
              <c:y val="3.078059591233704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3.8993264799718061E-3"/>
              <c:y val="1.761597181444520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5.6717476072315129E-3"/>
              <c:y val="-5.8719906048155341E-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7.0896845090392784E-3"/>
              <c:y val="1.761597181444520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1.0280042538107088E-2"/>
              <c:y val="-3.523194362888947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9.5710740872029815E-3"/>
              <c:y val="1.761597181444520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6.3807160581355084E-3"/>
              <c:y val="1.761597181444520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8.5076214108473821E-3"/>
              <c:y val="-4.69759248385214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7.0896845090392784E-3"/>
              <c:y val="-4.11039342337064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7.4327337594767787E-3"/>
              <c:y val="1.231223836493537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5.2029136316338129E-3"/>
              <c:y val="-1.231223836493537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2"/>
          </a:solidFill>
          <a:ln>
            <a:noFill/>
          </a:ln>
          <a:effectLst/>
        </c:spPr>
      </c:pivotFmt>
      <c:pivotFmt>
        <c:idx val="137"/>
        <c:spPr>
          <a:solidFill>
            <a:schemeClr val="accent2"/>
          </a:solidFill>
          <a:ln>
            <a:noFill/>
          </a:ln>
          <a:effectLst/>
        </c:spPr>
      </c:pivotFmt>
      <c:pivotFmt>
        <c:idx val="138"/>
        <c:spPr>
          <a:solidFill>
            <a:schemeClr val="accent2"/>
          </a:solidFill>
          <a:ln>
            <a:noFill/>
          </a:ln>
          <a:effectLst/>
        </c:spPr>
      </c:pivotFmt>
      <c:pivotFmt>
        <c:idx val="139"/>
        <c:spPr>
          <a:solidFill>
            <a:schemeClr val="accent2"/>
          </a:solidFill>
          <a:ln>
            <a:noFill/>
          </a:ln>
          <a:effectLst/>
        </c:spPr>
      </c:pivotFmt>
      <c:pivotFmt>
        <c:idx val="140"/>
        <c:spPr>
          <a:solidFill>
            <a:schemeClr val="accent2"/>
          </a:solidFill>
          <a:ln>
            <a:noFill/>
          </a:ln>
          <a:effectLst/>
        </c:spPr>
      </c:pivotFmt>
      <c:pivotFmt>
        <c:idx val="141"/>
        <c:spPr>
          <a:solidFill>
            <a:schemeClr val="accent2"/>
          </a:solidFill>
          <a:ln>
            <a:noFill/>
          </a:ln>
          <a:effectLst/>
        </c:spPr>
      </c:pivotFmt>
      <c:pivotFmt>
        <c:idx val="142"/>
        <c:spPr>
          <a:solidFill>
            <a:schemeClr val="accent2"/>
          </a:solidFill>
          <a:ln>
            <a:noFill/>
          </a:ln>
          <a:effectLst/>
        </c:spPr>
      </c:pivotFmt>
      <c:pivotFmt>
        <c:idx val="143"/>
        <c:spPr>
          <a:solidFill>
            <a:schemeClr val="accent2"/>
          </a:solidFill>
          <a:ln>
            <a:noFill/>
          </a:ln>
          <a:effectLst/>
        </c:spPr>
      </c:pivotFmt>
      <c:pivotFmt>
        <c:idx val="144"/>
        <c:spPr>
          <a:solidFill>
            <a:schemeClr val="accent2"/>
          </a:solidFill>
          <a:ln>
            <a:noFill/>
          </a:ln>
          <a:effectLst/>
        </c:spPr>
      </c:pivotFmt>
      <c:pivotFmt>
        <c:idx val="145"/>
        <c:spPr>
          <a:solidFill>
            <a:schemeClr val="accent2"/>
          </a:solidFill>
          <a:ln>
            <a:noFill/>
          </a:ln>
          <a:effectLst/>
        </c:spPr>
      </c:pivotFmt>
      <c:pivotFmt>
        <c:idx val="146"/>
        <c:spPr>
          <a:solidFill>
            <a:schemeClr val="accent2"/>
          </a:solidFill>
          <a:ln>
            <a:noFill/>
          </a:ln>
          <a:effectLst/>
        </c:spPr>
      </c:pivotFmt>
      <c:pivotFmt>
        <c:idx val="147"/>
        <c:spPr>
          <a:solidFill>
            <a:schemeClr val="accent2"/>
          </a:solidFill>
          <a:ln>
            <a:noFill/>
          </a:ln>
          <a:effectLst/>
        </c:spPr>
      </c:pivotFmt>
      <c:pivotFmt>
        <c:idx val="148"/>
        <c:spPr>
          <a:solidFill>
            <a:schemeClr val="accent2"/>
          </a:solidFill>
          <a:ln>
            <a:noFill/>
          </a:ln>
          <a:effectLst/>
        </c:spPr>
      </c:pivotFmt>
      <c:pivotFmt>
        <c:idx val="149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Gols_Marcados_x_Sofridos!$B$2</c:f>
              <c:strCache>
                <c:ptCount val="1"/>
                <c:pt idx="0">
                  <c:v>Gols Sofridos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Gols_Marcados_x_Sofridos!$A$3:$A$23</c:f>
              <c:strCache>
                <c:ptCount val="20"/>
                <c:pt idx="0">
                  <c:v>Corinthians</c:v>
                </c:pt>
                <c:pt idx="1">
                  <c:v>Palmeiras</c:v>
                </c:pt>
                <c:pt idx="2">
                  <c:v>Fortaleza</c:v>
                </c:pt>
                <c:pt idx="3">
                  <c:v>Sao Paulo</c:v>
                </c:pt>
                <c:pt idx="4">
                  <c:v>Botafogo RJ</c:v>
                </c:pt>
                <c:pt idx="5">
                  <c:v>Internacional</c:v>
                </c:pt>
                <c:pt idx="6">
                  <c:v>Flamengo RJ</c:v>
                </c:pt>
                <c:pt idx="7">
                  <c:v>Cruzeiro</c:v>
                </c:pt>
                <c:pt idx="8">
                  <c:v>Vasco</c:v>
                </c:pt>
                <c:pt idx="9">
                  <c:v>Juventude</c:v>
                </c:pt>
                <c:pt idx="10">
                  <c:v>Atletico-MG</c:v>
                </c:pt>
                <c:pt idx="11">
                  <c:v>Bragantino</c:v>
                </c:pt>
                <c:pt idx="12">
                  <c:v>Gremio</c:v>
                </c:pt>
                <c:pt idx="13">
                  <c:v>Bahia</c:v>
                </c:pt>
                <c:pt idx="14">
                  <c:v>Athletico-PR</c:v>
                </c:pt>
                <c:pt idx="15">
                  <c:v>Vitoria</c:v>
                </c:pt>
                <c:pt idx="16">
                  <c:v>Criciuma</c:v>
                </c:pt>
                <c:pt idx="17">
                  <c:v>Fluminense</c:v>
                </c:pt>
                <c:pt idx="18">
                  <c:v>Atletico GO</c:v>
                </c:pt>
                <c:pt idx="19">
                  <c:v>Cuiaba</c:v>
                </c:pt>
              </c:strCache>
            </c:strRef>
          </c:cat>
          <c:val>
            <c:numRef>
              <c:f>Gols_Marcados_x_Sofridos!$B$3:$B$23</c:f>
              <c:numCache>
                <c:formatCode>General</c:formatCode>
                <c:ptCount val="20"/>
                <c:pt idx="0">
                  <c:v>18</c:v>
                </c:pt>
                <c:pt idx="1">
                  <c:v>16</c:v>
                </c:pt>
                <c:pt idx="2">
                  <c:v>8</c:v>
                </c:pt>
                <c:pt idx="3">
                  <c:v>18</c:v>
                </c:pt>
                <c:pt idx="4">
                  <c:v>13</c:v>
                </c:pt>
                <c:pt idx="5">
                  <c:v>15</c:v>
                </c:pt>
                <c:pt idx="6">
                  <c:v>21</c:v>
                </c:pt>
                <c:pt idx="7">
                  <c:v>16</c:v>
                </c:pt>
                <c:pt idx="8">
                  <c:v>24</c:v>
                </c:pt>
                <c:pt idx="9">
                  <c:v>24</c:v>
                </c:pt>
                <c:pt idx="10">
                  <c:v>26</c:v>
                </c:pt>
                <c:pt idx="11">
                  <c:v>19</c:v>
                </c:pt>
                <c:pt idx="12">
                  <c:v>26</c:v>
                </c:pt>
                <c:pt idx="13">
                  <c:v>15</c:v>
                </c:pt>
                <c:pt idx="14">
                  <c:v>21</c:v>
                </c:pt>
                <c:pt idx="15">
                  <c:v>23</c:v>
                </c:pt>
                <c:pt idx="16">
                  <c:v>27</c:v>
                </c:pt>
                <c:pt idx="17">
                  <c:v>16</c:v>
                </c:pt>
                <c:pt idx="18">
                  <c:v>24</c:v>
                </c:pt>
                <c:pt idx="19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804-4DD6-B327-D27F5D0C9E6C}"/>
            </c:ext>
          </c:extLst>
        </c:ser>
        <c:ser>
          <c:idx val="1"/>
          <c:order val="1"/>
          <c:tx>
            <c:strRef>
              <c:f>Gols_Marcados_x_Sofridos!$C$2</c:f>
              <c:strCache>
                <c:ptCount val="1"/>
                <c:pt idx="0">
                  <c:v>Gols Marcados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Gols_Marcados_x_Sofridos!$A$3:$A$23</c:f>
              <c:strCache>
                <c:ptCount val="20"/>
                <c:pt idx="0">
                  <c:v>Corinthians</c:v>
                </c:pt>
                <c:pt idx="1">
                  <c:v>Palmeiras</c:v>
                </c:pt>
                <c:pt idx="2">
                  <c:v>Fortaleza</c:v>
                </c:pt>
                <c:pt idx="3">
                  <c:v>Sao Paulo</c:v>
                </c:pt>
                <c:pt idx="4">
                  <c:v>Botafogo RJ</c:v>
                </c:pt>
                <c:pt idx="5">
                  <c:v>Internacional</c:v>
                </c:pt>
                <c:pt idx="6">
                  <c:v>Flamengo RJ</c:v>
                </c:pt>
                <c:pt idx="7">
                  <c:v>Cruzeiro</c:v>
                </c:pt>
                <c:pt idx="8">
                  <c:v>Vasco</c:v>
                </c:pt>
                <c:pt idx="9">
                  <c:v>Juventude</c:v>
                </c:pt>
                <c:pt idx="10">
                  <c:v>Atletico-MG</c:v>
                </c:pt>
                <c:pt idx="11">
                  <c:v>Bragantino</c:v>
                </c:pt>
                <c:pt idx="12">
                  <c:v>Gremio</c:v>
                </c:pt>
                <c:pt idx="13">
                  <c:v>Bahia</c:v>
                </c:pt>
                <c:pt idx="14">
                  <c:v>Athletico-PR</c:v>
                </c:pt>
                <c:pt idx="15">
                  <c:v>Vitoria</c:v>
                </c:pt>
                <c:pt idx="16">
                  <c:v>Criciuma</c:v>
                </c:pt>
                <c:pt idx="17">
                  <c:v>Fluminense</c:v>
                </c:pt>
                <c:pt idx="18">
                  <c:v>Atletico GO</c:v>
                </c:pt>
                <c:pt idx="19">
                  <c:v>Cuiaba</c:v>
                </c:pt>
              </c:strCache>
            </c:strRef>
          </c:cat>
          <c:val>
            <c:numRef>
              <c:f>Gols_Marcados_x_Sofridos!$C$3:$C$23</c:f>
              <c:numCache>
                <c:formatCode>General</c:formatCode>
                <c:ptCount val="20"/>
                <c:pt idx="0">
                  <c:v>37</c:v>
                </c:pt>
                <c:pt idx="1">
                  <c:v>34</c:v>
                </c:pt>
                <c:pt idx="2">
                  <c:v>32</c:v>
                </c:pt>
                <c:pt idx="3">
                  <c:v>31</c:v>
                </c:pt>
                <c:pt idx="4">
                  <c:v>31</c:v>
                </c:pt>
                <c:pt idx="5">
                  <c:v>30</c:v>
                </c:pt>
                <c:pt idx="6">
                  <c:v>30</c:v>
                </c:pt>
                <c:pt idx="7">
                  <c:v>29</c:v>
                </c:pt>
                <c:pt idx="8">
                  <c:v>29</c:v>
                </c:pt>
                <c:pt idx="9">
                  <c:v>27</c:v>
                </c:pt>
                <c:pt idx="10">
                  <c:v>27</c:v>
                </c:pt>
                <c:pt idx="11">
                  <c:v>27</c:v>
                </c:pt>
                <c:pt idx="12">
                  <c:v>26</c:v>
                </c:pt>
                <c:pt idx="13">
                  <c:v>25</c:v>
                </c:pt>
                <c:pt idx="14">
                  <c:v>24</c:v>
                </c:pt>
                <c:pt idx="15">
                  <c:v>23</c:v>
                </c:pt>
                <c:pt idx="16">
                  <c:v>22</c:v>
                </c:pt>
                <c:pt idx="17">
                  <c:v>20</c:v>
                </c:pt>
                <c:pt idx="18">
                  <c:v>16</c:v>
                </c:pt>
                <c:pt idx="19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0804-4DD6-B327-D27F5D0C9E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5"/>
        <c:axId val="1806162439"/>
        <c:axId val="1810442759"/>
      </c:barChart>
      <c:catAx>
        <c:axId val="1806162439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442759"/>
        <c:crosses val="autoZero"/>
        <c:auto val="1"/>
        <c:lblAlgn val="ctr"/>
        <c:lblOffset val="100"/>
        <c:noMultiLvlLbl val="0"/>
      </c:catAx>
      <c:valAx>
        <c:axId val="1810442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162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- Brasileirão Serie A 2024.xlsx]Resultados!Tabela Dinâmica3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Resultados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000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50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Resultados!$B$2:$B$3</c:f>
              <c:strCache>
                <c:ptCount val="1"/>
                <c:pt idx="0">
                  <c:v>Derrotas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Resultados!$A$4:$A$24</c:f>
              <c:strCache>
                <c:ptCount val="20"/>
                <c:pt idx="0">
                  <c:v>Athletico-PR</c:v>
                </c:pt>
                <c:pt idx="1">
                  <c:v>Atletico GO</c:v>
                </c:pt>
                <c:pt idx="2">
                  <c:v>Atletico-MG</c:v>
                </c:pt>
                <c:pt idx="3">
                  <c:v>Bahia</c:v>
                </c:pt>
                <c:pt idx="4">
                  <c:v>Botafogo RJ</c:v>
                </c:pt>
                <c:pt idx="5">
                  <c:v>Bragantino</c:v>
                </c:pt>
                <c:pt idx="6">
                  <c:v>Corinthians</c:v>
                </c:pt>
                <c:pt idx="7">
                  <c:v>Criciuma</c:v>
                </c:pt>
                <c:pt idx="8">
                  <c:v>Cruzeiro</c:v>
                </c:pt>
                <c:pt idx="9">
                  <c:v>Cuiaba</c:v>
                </c:pt>
                <c:pt idx="10">
                  <c:v>Flamengo RJ</c:v>
                </c:pt>
                <c:pt idx="11">
                  <c:v>Fluminense</c:v>
                </c:pt>
                <c:pt idx="12">
                  <c:v>Fortaleza</c:v>
                </c:pt>
                <c:pt idx="13">
                  <c:v>Gremio</c:v>
                </c:pt>
                <c:pt idx="14">
                  <c:v>Internacional</c:v>
                </c:pt>
                <c:pt idx="15">
                  <c:v>Juventude</c:v>
                </c:pt>
                <c:pt idx="16">
                  <c:v>Palmeiras</c:v>
                </c:pt>
                <c:pt idx="17">
                  <c:v>Sao Paulo</c:v>
                </c:pt>
                <c:pt idx="18">
                  <c:v>Vasco</c:v>
                </c:pt>
                <c:pt idx="19">
                  <c:v>Vitoria</c:v>
                </c:pt>
              </c:strCache>
            </c:strRef>
          </c:cat>
          <c:val>
            <c:numRef>
              <c:f>Resultados!$B$4:$B$24</c:f>
              <c:numCache>
                <c:formatCode>General</c:formatCode>
                <c:ptCount val="20"/>
                <c:pt idx="0">
                  <c:v>8</c:v>
                </c:pt>
                <c:pt idx="1">
                  <c:v>9</c:v>
                </c:pt>
                <c:pt idx="2">
                  <c:v>5</c:v>
                </c:pt>
                <c:pt idx="3">
                  <c:v>5</c:v>
                </c:pt>
                <c:pt idx="4">
                  <c:v>2</c:v>
                </c:pt>
                <c:pt idx="5">
                  <c:v>4</c:v>
                </c:pt>
                <c:pt idx="6">
                  <c:v>1</c:v>
                </c:pt>
                <c:pt idx="7">
                  <c:v>6</c:v>
                </c:pt>
                <c:pt idx="8">
                  <c:v>4</c:v>
                </c:pt>
                <c:pt idx="9">
                  <c:v>11</c:v>
                </c:pt>
                <c:pt idx="10">
                  <c:v>3</c:v>
                </c:pt>
                <c:pt idx="11">
                  <c:v>4</c:v>
                </c:pt>
                <c:pt idx="13">
                  <c:v>8</c:v>
                </c:pt>
                <c:pt idx="14">
                  <c:v>3</c:v>
                </c:pt>
                <c:pt idx="15">
                  <c:v>5</c:v>
                </c:pt>
                <c:pt idx="16">
                  <c:v>5</c:v>
                </c:pt>
                <c:pt idx="17">
                  <c:v>4</c:v>
                </c:pt>
                <c:pt idx="18">
                  <c:v>4</c:v>
                </c:pt>
                <c:pt idx="1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58-4F1F-A1E4-5390DA2D9A54}"/>
            </c:ext>
          </c:extLst>
        </c:ser>
        <c:ser>
          <c:idx val="1"/>
          <c:order val="1"/>
          <c:tx>
            <c:strRef>
              <c:f>Resultados!$C$2:$C$3</c:f>
              <c:strCache>
                <c:ptCount val="1"/>
                <c:pt idx="0">
                  <c:v>Empates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Resultados!$A$4:$A$24</c:f>
              <c:strCache>
                <c:ptCount val="20"/>
                <c:pt idx="0">
                  <c:v>Athletico-PR</c:v>
                </c:pt>
                <c:pt idx="1">
                  <c:v>Atletico GO</c:v>
                </c:pt>
                <c:pt idx="2">
                  <c:v>Atletico-MG</c:v>
                </c:pt>
                <c:pt idx="3">
                  <c:v>Bahia</c:v>
                </c:pt>
                <c:pt idx="4">
                  <c:v>Botafogo RJ</c:v>
                </c:pt>
                <c:pt idx="5">
                  <c:v>Bragantino</c:v>
                </c:pt>
                <c:pt idx="6">
                  <c:v>Corinthians</c:v>
                </c:pt>
                <c:pt idx="7">
                  <c:v>Criciuma</c:v>
                </c:pt>
                <c:pt idx="8">
                  <c:v>Cruzeiro</c:v>
                </c:pt>
                <c:pt idx="9">
                  <c:v>Cuiaba</c:v>
                </c:pt>
                <c:pt idx="10">
                  <c:v>Flamengo RJ</c:v>
                </c:pt>
                <c:pt idx="11">
                  <c:v>Fluminense</c:v>
                </c:pt>
                <c:pt idx="12">
                  <c:v>Fortaleza</c:v>
                </c:pt>
                <c:pt idx="13">
                  <c:v>Gremio</c:v>
                </c:pt>
                <c:pt idx="14">
                  <c:v>Internacional</c:v>
                </c:pt>
                <c:pt idx="15">
                  <c:v>Juventude</c:v>
                </c:pt>
                <c:pt idx="16">
                  <c:v>Palmeiras</c:v>
                </c:pt>
                <c:pt idx="17">
                  <c:v>Sao Paulo</c:v>
                </c:pt>
                <c:pt idx="18">
                  <c:v>Vasco</c:v>
                </c:pt>
                <c:pt idx="19">
                  <c:v>Vitoria</c:v>
                </c:pt>
              </c:strCache>
            </c:strRef>
          </c:cat>
          <c:val>
            <c:numRef>
              <c:f>Resultados!$C$4:$C$24</c:f>
              <c:numCache>
                <c:formatCode>General</c:formatCode>
                <c:ptCount val="20"/>
                <c:pt idx="0">
                  <c:v>4</c:v>
                </c:pt>
                <c:pt idx="1">
                  <c:v>5</c:v>
                </c:pt>
                <c:pt idx="2">
                  <c:v>7</c:v>
                </c:pt>
                <c:pt idx="3">
                  <c:v>3</c:v>
                </c:pt>
                <c:pt idx="4">
                  <c:v>5</c:v>
                </c:pt>
                <c:pt idx="5">
                  <c:v>7</c:v>
                </c:pt>
                <c:pt idx="6">
                  <c:v>8</c:v>
                </c:pt>
                <c:pt idx="7">
                  <c:v>8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8</c:v>
                </c:pt>
                <c:pt idx="12">
                  <c:v>5</c:v>
                </c:pt>
                <c:pt idx="13">
                  <c:v>2</c:v>
                </c:pt>
                <c:pt idx="14">
                  <c:v>5</c:v>
                </c:pt>
                <c:pt idx="15">
                  <c:v>6</c:v>
                </c:pt>
                <c:pt idx="16">
                  <c:v>2</c:v>
                </c:pt>
                <c:pt idx="17">
                  <c:v>3</c:v>
                </c:pt>
                <c:pt idx="18">
                  <c:v>5</c:v>
                </c:pt>
                <c:pt idx="1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58-4F1F-A1E4-5390DA2D9A54}"/>
            </c:ext>
          </c:extLst>
        </c:ser>
        <c:ser>
          <c:idx val="2"/>
          <c:order val="2"/>
          <c:tx>
            <c:strRef>
              <c:f>Resultados!$D$2:$D$3</c:f>
              <c:strCache>
                <c:ptCount val="1"/>
                <c:pt idx="0">
                  <c:v>Vitórias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Resultados!$A$4:$A$24</c:f>
              <c:strCache>
                <c:ptCount val="20"/>
                <c:pt idx="0">
                  <c:v>Athletico-PR</c:v>
                </c:pt>
                <c:pt idx="1">
                  <c:v>Atletico GO</c:v>
                </c:pt>
                <c:pt idx="2">
                  <c:v>Atletico-MG</c:v>
                </c:pt>
                <c:pt idx="3">
                  <c:v>Bahia</c:v>
                </c:pt>
                <c:pt idx="4">
                  <c:v>Botafogo RJ</c:v>
                </c:pt>
                <c:pt idx="5">
                  <c:v>Bragantino</c:v>
                </c:pt>
                <c:pt idx="6">
                  <c:v>Corinthians</c:v>
                </c:pt>
                <c:pt idx="7">
                  <c:v>Criciuma</c:v>
                </c:pt>
                <c:pt idx="8">
                  <c:v>Cruzeiro</c:v>
                </c:pt>
                <c:pt idx="9">
                  <c:v>Cuiaba</c:v>
                </c:pt>
                <c:pt idx="10">
                  <c:v>Flamengo RJ</c:v>
                </c:pt>
                <c:pt idx="11">
                  <c:v>Fluminense</c:v>
                </c:pt>
                <c:pt idx="12">
                  <c:v>Fortaleza</c:v>
                </c:pt>
                <c:pt idx="13">
                  <c:v>Gremio</c:v>
                </c:pt>
                <c:pt idx="14">
                  <c:v>Internacional</c:v>
                </c:pt>
                <c:pt idx="15">
                  <c:v>Juventude</c:v>
                </c:pt>
                <c:pt idx="16">
                  <c:v>Palmeiras</c:v>
                </c:pt>
                <c:pt idx="17">
                  <c:v>Sao Paulo</c:v>
                </c:pt>
                <c:pt idx="18">
                  <c:v>Vasco</c:v>
                </c:pt>
                <c:pt idx="19">
                  <c:v>Vitoria</c:v>
                </c:pt>
              </c:strCache>
            </c:strRef>
          </c:cat>
          <c:val>
            <c:numRef>
              <c:f>Resultados!$D$4:$D$24</c:f>
              <c:numCache>
                <c:formatCode>General</c:formatCode>
                <c:ptCount val="20"/>
                <c:pt idx="0">
                  <c:v>7</c:v>
                </c:pt>
                <c:pt idx="1">
                  <c:v>5</c:v>
                </c:pt>
                <c:pt idx="2">
                  <c:v>7</c:v>
                </c:pt>
                <c:pt idx="3">
                  <c:v>11</c:v>
                </c:pt>
                <c:pt idx="4">
                  <c:v>12</c:v>
                </c:pt>
                <c:pt idx="5">
                  <c:v>8</c:v>
                </c:pt>
                <c:pt idx="6">
                  <c:v>10</c:v>
                </c:pt>
                <c:pt idx="7">
                  <c:v>5</c:v>
                </c:pt>
                <c:pt idx="8">
                  <c:v>10</c:v>
                </c:pt>
                <c:pt idx="9">
                  <c:v>3</c:v>
                </c:pt>
                <c:pt idx="10">
                  <c:v>11</c:v>
                </c:pt>
                <c:pt idx="11">
                  <c:v>7</c:v>
                </c:pt>
                <c:pt idx="12">
                  <c:v>14</c:v>
                </c:pt>
                <c:pt idx="13">
                  <c:v>9</c:v>
                </c:pt>
                <c:pt idx="14">
                  <c:v>11</c:v>
                </c:pt>
                <c:pt idx="15">
                  <c:v>8</c:v>
                </c:pt>
                <c:pt idx="16">
                  <c:v>12</c:v>
                </c:pt>
                <c:pt idx="17">
                  <c:v>12</c:v>
                </c:pt>
                <c:pt idx="18">
                  <c:v>10</c:v>
                </c:pt>
                <c:pt idx="1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58-4F1F-A1E4-5390DA2D9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827139591"/>
        <c:axId val="1827142663"/>
      </c:barChart>
      <c:catAx>
        <c:axId val="1827139591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7142663"/>
        <c:crosses val="autoZero"/>
        <c:auto val="1"/>
        <c:lblAlgn val="ctr"/>
        <c:lblOffset val="100"/>
        <c:noMultiLvlLbl val="0"/>
      </c:catAx>
      <c:valAx>
        <c:axId val="1827142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7139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121212546179246"/>
          <c:y val="0.93132735853670479"/>
          <c:w val="0.37009796666982891"/>
          <c:h val="5.45689913760779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- Brasileirão Serie A 2024.xlsx]Rodadas com mais Gols!Tabela Dinâmica4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Resumo rodadas com mais gols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'Rodadas com mais Gols'!$B$2</c:f>
              <c:strCache>
                <c:ptCount val="1"/>
                <c:pt idx="0">
                  <c:v>Soma de HG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'Rodadas com mais Gols'!$A$3:$A$13</c:f>
              <c:strCache>
                <c:ptCount val="10"/>
                <c:pt idx="0">
                  <c:v>08/12/2024</c:v>
                </c:pt>
                <c:pt idx="1">
                  <c:v>07/07/2024</c:v>
                </c:pt>
                <c:pt idx="2">
                  <c:v>15/09/2024</c:v>
                </c:pt>
                <c:pt idx="3">
                  <c:v>26/10/2024</c:v>
                </c:pt>
                <c:pt idx="4">
                  <c:v>23/06/2024</c:v>
                </c:pt>
                <c:pt idx="5">
                  <c:v>16/06/2024</c:v>
                </c:pt>
                <c:pt idx="6">
                  <c:v>01/09/2024</c:v>
                </c:pt>
                <c:pt idx="7">
                  <c:v>14/04/2024</c:v>
                </c:pt>
                <c:pt idx="8">
                  <c:v>04/07/2024</c:v>
                </c:pt>
                <c:pt idx="9">
                  <c:v>11/08/2024</c:v>
                </c:pt>
              </c:strCache>
            </c:strRef>
          </c:cat>
          <c:val>
            <c:numRef>
              <c:f>'Rodadas com mais Gols'!$B$3:$B$13</c:f>
              <c:numCache>
                <c:formatCode>General</c:formatCode>
                <c:ptCount val="10"/>
                <c:pt idx="0">
                  <c:v>16</c:v>
                </c:pt>
                <c:pt idx="1">
                  <c:v>16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14</c:v>
                </c:pt>
                <c:pt idx="6">
                  <c:v>14</c:v>
                </c:pt>
                <c:pt idx="7">
                  <c:v>13</c:v>
                </c:pt>
                <c:pt idx="8">
                  <c:v>13</c:v>
                </c:pt>
                <c:pt idx="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C9-4C7C-B45E-441FAB243746}"/>
            </c:ext>
          </c:extLst>
        </c:ser>
        <c:ser>
          <c:idx val="1"/>
          <c:order val="1"/>
          <c:tx>
            <c:strRef>
              <c:f>'Rodadas com mais Gols'!$C$2</c:f>
              <c:strCache>
                <c:ptCount val="1"/>
                <c:pt idx="0">
                  <c:v>Soma de AG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'Rodadas com mais Gols'!$A$3:$A$13</c:f>
              <c:strCache>
                <c:ptCount val="10"/>
                <c:pt idx="0">
                  <c:v>08/12/2024</c:v>
                </c:pt>
                <c:pt idx="1">
                  <c:v>07/07/2024</c:v>
                </c:pt>
                <c:pt idx="2">
                  <c:v>15/09/2024</c:v>
                </c:pt>
                <c:pt idx="3">
                  <c:v>26/10/2024</c:v>
                </c:pt>
                <c:pt idx="4">
                  <c:v>23/06/2024</c:v>
                </c:pt>
                <c:pt idx="5">
                  <c:v>16/06/2024</c:v>
                </c:pt>
                <c:pt idx="6">
                  <c:v>01/09/2024</c:v>
                </c:pt>
                <c:pt idx="7">
                  <c:v>14/04/2024</c:v>
                </c:pt>
                <c:pt idx="8">
                  <c:v>04/07/2024</c:v>
                </c:pt>
                <c:pt idx="9">
                  <c:v>11/08/2024</c:v>
                </c:pt>
              </c:strCache>
            </c:strRef>
          </c:cat>
          <c:val>
            <c:numRef>
              <c:f>'Rodadas com mais Gols'!$C$3:$C$13</c:f>
              <c:numCache>
                <c:formatCode>General</c:formatCode>
                <c:ptCount val="10"/>
                <c:pt idx="0">
                  <c:v>11</c:v>
                </c:pt>
                <c:pt idx="1">
                  <c:v>6</c:v>
                </c:pt>
                <c:pt idx="2">
                  <c:v>6</c:v>
                </c:pt>
                <c:pt idx="3">
                  <c:v>10</c:v>
                </c:pt>
                <c:pt idx="4">
                  <c:v>7</c:v>
                </c:pt>
                <c:pt idx="5">
                  <c:v>10</c:v>
                </c:pt>
                <c:pt idx="6">
                  <c:v>12</c:v>
                </c:pt>
                <c:pt idx="7">
                  <c:v>10</c:v>
                </c:pt>
                <c:pt idx="8">
                  <c:v>9</c:v>
                </c:pt>
                <c:pt idx="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C9-4C7C-B45E-441FAB2437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4"/>
        <c:axId val="1822828551"/>
        <c:axId val="1824811015"/>
      </c:barChart>
      <c:catAx>
        <c:axId val="18228285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811015"/>
        <c:crosses val="autoZero"/>
        <c:auto val="1"/>
        <c:lblAlgn val="ctr"/>
        <c:lblOffset val="100"/>
        <c:noMultiLvlLbl val="0"/>
      </c:catAx>
      <c:valAx>
        <c:axId val="1824811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828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1</xdr:row>
      <xdr:rowOff>95250</xdr:rowOff>
    </xdr:from>
    <xdr:to>
      <xdr:col>22</xdr:col>
      <xdr:colOff>247650</xdr:colOff>
      <xdr:row>34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364D6D0-52FB-9D71-333D-1225D7A8C4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542925</xdr:colOff>
      <xdr:row>0</xdr:row>
      <xdr:rowOff>19050</xdr:rowOff>
    </xdr:from>
    <xdr:to>
      <xdr:col>19</xdr:col>
      <xdr:colOff>276225</xdr:colOff>
      <xdr:row>26</xdr:row>
      <xdr:rowOff>57150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CCF4A9D-91E9-04B3-B3CA-92981F3699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476250</xdr:colOff>
      <xdr:row>1</xdr:row>
      <xdr:rowOff>0</xdr:rowOff>
    </xdr:from>
    <xdr:to>
      <xdr:col>18</xdr:col>
      <xdr:colOff>457200</xdr:colOff>
      <xdr:row>29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704077B-193B-024E-4753-DEC9D441DF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76200</xdr:colOff>
      <xdr:row>8</xdr:row>
      <xdr:rowOff>57150</xdr:rowOff>
    </xdr:from>
    <xdr:to>
      <xdr:col>26</xdr:col>
      <xdr:colOff>371475</xdr:colOff>
      <xdr:row>47</xdr:row>
      <xdr:rowOff>161925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852D1E5-AD3A-6162-BCEF-9A8FD99E22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1676400</xdr:colOff>
      <xdr:row>2</xdr:row>
      <xdr:rowOff>9525</xdr:rowOff>
    </xdr:from>
    <xdr:to>
      <xdr:col>10</xdr:col>
      <xdr:colOff>561975</xdr:colOff>
      <xdr:row>27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1B4CFA3-F545-48BC-AEEA-7F390CF71B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561975</xdr:colOff>
      <xdr:row>2</xdr:row>
      <xdr:rowOff>9525</xdr:rowOff>
    </xdr:from>
    <xdr:to>
      <xdr:col>23</xdr:col>
      <xdr:colOff>171450</xdr:colOff>
      <xdr:row>27</xdr:row>
      <xdr:rowOff>47625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E3E20B6-5E2B-4652-BB31-B91DA766C8A0}"/>
            </a:ext>
            <a:ext uri="{147F2762-F138-4A5C-976F-8EAC2B608ADB}">
              <a16:predDERef xmlns:a16="http://schemas.microsoft.com/office/drawing/2014/main" pred="{31B4CFA3-F545-48BC-AEEA-7F390CF71B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1685925</xdr:colOff>
      <xdr:row>27</xdr:row>
      <xdr:rowOff>85725</xdr:rowOff>
    </xdr:from>
    <xdr:to>
      <xdr:col>10</xdr:col>
      <xdr:colOff>542925</xdr:colOff>
      <xdr:row>49</xdr:row>
      <xdr:rowOff>38100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D54D6AB-4716-4D96-B38C-96E7AA6BFE2C}"/>
            </a:ext>
            <a:ext uri="{147F2762-F138-4A5C-976F-8EAC2B608ADB}">
              <a16:predDERef xmlns:a16="http://schemas.microsoft.com/office/drawing/2014/main" pred="{CE3E20B6-5E2B-4652-BB31-B91DA766C8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561975</xdr:colOff>
      <xdr:row>27</xdr:row>
      <xdr:rowOff>66675</xdr:rowOff>
    </xdr:from>
    <xdr:to>
      <xdr:col>23</xdr:col>
      <xdr:colOff>171450</xdr:colOff>
      <xdr:row>49</xdr:row>
      <xdr:rowOff>57150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22AB8E1-282C-4C5D-B3CB-5EED31C02F07}"/>
            </a:ext>
            <a:ext uri="{147F2762-F138-4A5C-976F-8EAC2B608ADB}">
              <a16:predDERef xmlns:a16="http://schemas.microsoft.com/office/drawing/2014/main" pred="{6D54D6AB-4716-4D96-B38C-96E7AA6BFE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238125</xdr:colOff>
      <xdr:row>2</xdr:row>
      <xdr:rowOff>19050</xdr:rowOff>
    </xdr:from>
    <xdr:to>
      <xdr:col>32</xdr:col>
      <xdr:colOff>333375</xdr:colOff>
      <xdr:row>19</xdr:row>
      <xdr:rowOff>95250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792BBB6-34D3-667F-7B8C-3DB6833AD69E}"/>
            </a:ext>
            <a:ext uri="{147F2762-F138-4A5C-976F-8EAC2B608ADB}">
              <a16:predDERef xmlns:a16="http://schemas.microsoft.com/office/drawing/2014/main" pred="{622AB8E1-282C-4C5D-B3CB-5EED31C02F07}"/>
            </a:ext>
          </a:extLst>
        </xdr:cNvPr>
        <xdr:cNvSpPr txBox="1"/>
      </xdr:nvSpPr>
      <xdr:spPr>
        <a:xfrm>
          <a:off x="16773525" y="666750"/>
          <a:ext cx="5581650" cy="3314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800" b="0" i="0">
              <a:latin typeface="Arial" panose="020B0604020202020204" pitchFamily="34" charset="0"/>
              <a:cs typeface="Arial" panose="020B0604020202020204" pitchFamily="34" charset="0"/>
            </a:rPr>
            <a:t>Principais Insights</a:t>
          </a:r>
        </a:p>
        <a:p>
          <a:pPr marL="0" indent="0" algn="l"/>
          <a:endParaRPr lang="en-US" sz="1800" b="0" i="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indent="0" algn="l"/>
          <a:r>
            <a:rPr lang="en-US" sz="1800" b="0" i="0">
              <a:latin typeface="Arial" panose="020B0604020202020204" pitchFamily="34" charset="0"/>
              <a:cs typeface="Arial" panose="020B0604020202020204" pitchFamily="34" charset="0"/>
            </a:rPr>
            <a:t>• Corinthians liderou os gols marcados em casa.</a:t>
          </a:r>
        </a:p>
        <a:p>
          <a:pPr marL="0" indent="0" algn="l"/>
          <a:endParaRPr lang="en-US" sz="1800" b="0" i="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indent="0" algn="l"/>
          <a:r>
            <a:rPr lang="en-US" sz="1800" b="0" i="0">
              <a:latin typeface="Arial" panose="020B0604020202020204" pitchFamily="34" charset="0"/>
              <a:cs typeface="Arial" panose="020B0604020202020204" pitchFamily="34" charset="0"/>
            </a:rPr>
            <a:t>• Palmeiras e Fortaleza também tiveram destaque ofensivo.</a:t>
          </a:r>
        </a:p>
        <a:p>
          <a:pPr marL="0" indent="0" algn="l"/>
          <a:endParaRPr lang="en-US" sz="1800" b="0" i="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indent="0" algn="l"/>
          <a:r>
            <a:rPr lang="en-US" sz="1800" b="0" i="0">
              <a:latin typeface="Arial" panose="020B0604020202020204" pitchFamily="34" charset="0"/>
              <a:cs typeface="Arial" panose="020B0604020202020204" pitchFamily="34" charset="0"/>
            </a:rPr>
            <a:t>• O dia com mais gols foi 08/12/2024, com 27 gols.</a:t>
          </a:r>
        </a:p>
        <a:p>
          <a:pPr marL="0" indent="0" algn="l"/>
          <a:endParaRPr lang="en-US" sz="1800" b="0" i="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indent="0" algn="l"/>
          <a:r>
            <a:rPr lang="en-US" sz="1800" b="0" i="0">
              <a:latin typeface="Arial" panose="020B0604020202020204" pitchFamily="34" charset="0"/>
              <a:cs typeface="Arial" panose="020B0604020202020204" pitchFamily="34" charset="0"/>
            </a:rPr>
            <a:t>• Foram registrados 929 gols em 380 partidas.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72.047219675929" createdVersion="8" refreshedVersion="8" minRefreshableVersion="3" recordCount="380" xr:uid="{611379C9-55F1-43C6-A8A0-DC9887D3FC10}">
  <cacheSource type="worksheet">
    <worksheetSource name="BRA"/>
  </cacheSource>
  <cacheFields count="25">
    <cacheField name="Country" numFmtId="0">
      <sharedItems/>
    </cacheField>
    <cacheField name="League" numFmtId="0">
      <sharedItems/>
    </cacheField>
    <cacheField name="Season" numFmtId="0">
      <sharedItems containsSemiMixedTypes="0" containsString="0" containsNumber="1" containsInteger="1" minValue="2024" maxValue="2024"/>
    </cacheField>
    <cacheField name="Date" numFmtId="14">
      <sharedItems containsSemiMixedTypes="0" containsNonDate="0" containsDate="1" containsString="0" minDate="2024-04-13T00:00:00" maxDate="2024-12-09T00:00:00" count="125">
        <d v="2024-04-13T00:00:00"/>
        <d v="2024-04-14T00:00:00"/>
        <d v="2024-04-17T00:00:00"/>
        <d v="2024-04-18T00:00:00"/>
        <d v="2024-04-19T00:00:00"/>
        <d v="2024-04-20T00:00:00"/>
        <d v="2024-04-21T00:00:00"/>
        <d v="2024-04-27T00:00:00"/>
        <d v="2024-04-28T00:00:00"/>
        <d v="2024-04-29T00:00:00"/>
        <d v="2024-04-30T00:00:00"/>
        <d v="2024-05-04T00:00:00"/>
        <d v="2024-05-05T00:00:00"/>
        <d v="2024-05-11T00:00:00"/>
        <d v="2024-05-12T00:00:00"/>
        <d v="2024-05-14T00:00:00"/>
        <d v="2024-06-01T00:00:00"/>
        <d v="2024-06-02T00:00:00"/>
        <d v="2024-06-05T00:00:00"/>
        <d v="2024-06-06T00:00:00"/>
        <d v="2024-06-09T00:00:00"/>
        <d v="2024-06-11T00:00:00"/>
        <d v="2024-06-12T00:00:00"/>
        <d v="2024-06-13T00:00:00"/>
        <d v="2024-06-14T00:00:00"/>
        <d v="2024-06-15T00:00:00"/>
        <d v="2024-06-16T00:00:00"/>
        <d v="2024-06-18T00:00:00"/>
        <d v="2024-06-19T00:00:00"/>
        <d v="2024-06-20T00:00:00"/>
        <d v="2024-06-21T00:00:00"/>
        <d v="2024-06-22T00:00:00"/>
        <d v="2024-06-23T00:00:00"/>
        <d v="2024-06-26T00:00:00"/>
        <d v="2024-06-27T00:00:00"/>
        <d v="2024-06-28T00:00:00"/>
        <d v="2024-06-29T00:00:00"/>
        <d v="2024-06-30T00:00:00"/>
        <d v="2024-07-02T00:00:00"/>
        <d v="2024-07-03T00:00:00"/>
        <d v="2024-07-04T00:00:00"/>
        <d v="2024-07-05T00:00:00"/>
        <d v="2024-07-07T00:00:00"/>
        <d v="2024-07-08T00:00:00"/>
        <d v="2024-07-10T00:00:00"/>
        <d v="2024-07-11T00:00:00"/>
        <d v="2024-07-12T00:00:00"/>
        <d v="2024-07-13T00:00:00"/>
        <d v="2024-07-16T00:00:00"/>
        <d v="2024-07-17T00:00:00"/>
        <d v="2024-07-18T00:00:00"/>
        <d v="2024-07-20T00:00:00"/>
        <d v="2024-07-21T00:00:00"/>
        <d v="2024-07-22T00:00:00"/>
        <d v="2024-07-24T00:00:00"/>
        <d v="2024-07-25T00:00:00"/>
        <d v="2024-07-26T00:00:00"/>
        <d v="2024-07-27T00:00:00"/>
        <d v="2024-07-28T00:00:00"/>
        <d v="2024-08-03T00:00:00"/>
        <d v="2024-08-04T00:00:00"/>
        <d v="2024-08-06T00:00:00"/>
        <d v="2024-08-10T00:00:00"/>
        <d v="2024-08-11T00:00:00"/>
        <d v="2024-08-14T00:00:00"/>
        <d v="2024-08-17T00:00:00"/>
        <d v="2024-08-18T00:00:00"/>
        <d v="2024-08-20T00:00:00"/>
        <d v="2024-08-24T00:00:00"/>
        <d v="2024-08-25T00:00:00"/>
        <d v="2024-08-26T00:00:00"/>
        <d v="2024-08-27T00:00:00"/>
        <d v="2024-08-28T00:00:00"/>
        <d v="2024-08-31T00:00:00"/>
        <d v="2024-09-01T00:00:00"/>
        <d v="2024-09-06T00:00:00"/>
        <d v="2024-09-11T00:00:00"/>
        <d v="2024-09-14T00:00:00"/>
        <d v="2024-09-15T00:00:00"/>
        <d v="2024-09-17T00:00:00"/>
        <d v="2024-09-21T00:00:00"/>
        <d v="2024-09-22T00:00:00"/>
        <d v="2024-09-23T00:00:00"/>
        <d v="2024-09-25T00:00:00"/>
        <d v="2024-09-28T00:00:00"/>
        <d v="2024-09-29T00:00:00"/>
        <d v="2024-09-30T00:00:00"/>
        <d v="2024-10-03T00:00:00"/>
        <d v="2024-10-04T00:00:00"/>
        <d v="2024-10-05T00:00:00"/>
        <d v="2024-10-06T00:00:00"/>
        <d v="2024-10-09T00:00:00"/>
        <d v="2024-10-17T00:00:00"/>
        <d v="2024-10-18T00:00:00"/>
        <d v="2024-10-19T00:00:00"/>
        <d v="2024-10-21T00:00:00"/>
        <d v="2024-10-22T00:00:00"/>
        <d v="2024-10-24T00:00:00"/>
        <d v="2024-10-26T00:00:00"/>
        <d v="2024-10-27T00:00:00"/>
        <d v="2024-10-28T00:00:00"/>
        <d v="2024-10-29T00:00:00"/>
        <d v="2024-10-30T00:00:00"/>
        <d v="2024-11-02T00:00:00"/>
        <d v="2024-11-04T00:00:00"/>
        <d v="2024-11-06T00:00:00"/>
        <d v="2024-11-07T00:00:00"/>
        <d v="2024-11-08T00:00:00"/>
        <d v="2024-11-09T00:00:00"/>
        <d v="2024-11-10T00:00:00"/>
        <d v="2024-11-13T00:00:00"/>
        <d v="2024-11-16T00:00:00"/>
        <d v="2024-11-20T00:00:00"/>
        <d v="2024-11-21T00:00:00"/>
        <d v="2024-11-23T00:00:00"/>
        <d v="2024-11-24T00:00:00"/>
        <d v="2024-11-26T00:00:00"/>
        <d v="2024-11-27T00:00:00"/>
        <d v="2024-11-28T00:00:00"/>
        <d v="2024-11-30T00:00:00"/>
        <d v="2024-12-01T00:00:00"/>
        <d v="2024-12-03T00:00:00"/>
        <d v="2024-12-04T00:00:00"/>
        <d v="2024-12-05T00:00:00"/>
        <d v="2024-12-08T00:00:00"/>
      </sharedItems>
    </cacheField>
    <cacheField name="Time" numFmtId="164">
      <sharedItems containsSemiMixedTypes="0" containsNonDate="0" containsDate="1" containsString="0" minDate="1899-12-30T00:00:00" maxDate="1899-12-30T23:30:00"/>
    </cacheField>
    <cacheField name="Home" numFmtId="0">
      <sharedItems count="20">
        <s v="Criciuma"/>
        <s v="Internacional"/>
        <s v="Fluminense"/>
        <s v="Sao Paulo"/>
        <s v="Athletico-PR"/>
        <s v="Atletico GO"/>
        <s v="Corinthians"/>
        <s v="Vasco"/>
        <s v="Cruzeiro"/>
        <s v="Vitoria"/>
        <s v="Bahia"/>
        <s v="Bragantino"/>
        <s v="Gremio"/>
        <s v="Atletico-MG"/>
        <s v="Fortaleza"/>
        <s v="Juventude"/>
        <s v="Palmeiras"/>
        <s v="Flamengo RJ"/>
        <s v="Botafogo RJ"/>
        <s v="Cuiaba"/>
      </sharedItems>
    </cacheField>
    <cacheField name="Away" numFmtId="0">
      <sharedItems/>
    </cacheField>
    <cacheField name="HG" numFmtId="0">
      <sharedItems containsSemiMixedTypes="0" containsString="0" containsNumber="1" containsInteger="1" minValue="0" maxValue="5"/>
    </cacheField>
    <cacheField name="AG" numFmtId="0">
      <sharedItems containsSemiMixedTypes="0" containsString="0" containsNumber="1" containsInteger="1" minValue="0" maxValue="6"/>
    </cacheField>
    <cacheField name="Res" numFmtId="0">
      <sharedItems count="3">
        <s v="D"/>
        <s v="H"/>
        <s v="A"/>
      </sharedItems>
    </cacheField>
    <cacheField name="PSCH" numFmtId="0">
      <sharedItems containsSemiMixedTypes="0" containsString="0" containsNumber="1" containsInteger="1" minValue="2" maxValue="813"/>
    </cacheField>
    <cacheField name="PSCD" numFmtId="0">
      <sharedItems containsSemiMixedTypes="0" containsString="0" containsNumber="1" containsInteger="1" minValue="3" maxValue="631"/>
    </cacheField>
    <cacheField name="PSCA" numFmtId="0">
      <sharedItems containsSemiMixedTypes="0" containsString="0" containsNumber="1" containsInteger="1" minValue="3" maxValue="1461"/>
    </cacheField>
    <cacheField name="MaxCH" numFmtId="0">
      <sharedItems containsSemiMixedTypes="0" containsString="0" containsNumber="1" containsInteger="1" minValue="2" maxValue="563"/>
    </cacheField>
    <cacheField name="MaxCD" numFmtId="0">
      <sharedItems containsSemiMixedTypes="0" containsString="0" containsNumber="1" containsInteger="1" minValue="3" maxValue="557"/>
    </cacheField>
    <cacheField name="MaxCA" numFmtId="0">
      <sharedItems containsSemiMixedTypes="0" containsString="0" containsNumber="1" containsInteger="1" minValue="3" maxValue="1042"/>
    </cacheField>
    <cacheField name="AvgCH" numFmtId="0">
      <sharedItems containsSemiMixedTypes="0" containsString="0" containsNumber="1" containsInteger="1" minValue="2" maxValue="819"/>
    </cacheField>
    <cacheField name="AvgCD" numFmtId="0">
      <sharedItems containsSemiMixedTypes="0" containsString="0" containsNumber="1" containsInteger="1" minValue="3" maxValue="556"/>
    </cacheField>
    <cacheField name="AvgCA" numFmtId="0">
      <sharedItems containsSemiMixedTypes="0" containsString="0" containsNumber="1" containsInteger="1" minValue="3" maxValue="1376"/>
    </cacheField>
    <cacheField name="BFECH" numFmtId="0">
      <sharedItems/>
    </cacheField>
    <cacheField name="BFECD" numFmtId="0">
      <sharedItems/>
    </cacheField>
    <cacheField name="BFECA" numFmtId="0">
      <sharedItems/>
    </cacheField>
    <cacheField name="B365CH" numFmtId="0">
      <sharedItems/>
    </cacheField>
    <cacheField name="B365CD" numFmtId="0">
      <sharedItems/>
    </cacheField>
    <cacheField name="B365C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0">
  <r>
    <s v="Brazil"/>
    <s v="Serie A"/>
    <n v="2024"/>
    <x v="0"/>
    <d v="1899-12-30T22:30:00"/>
    <x v="0"/>
    <s v="Juventude"/>
    <n v="1"/>
    <n v="1"/>
    <x v="0"/>
    <n v="216"/>
    <n v="305"/>
    <n v="413"/>
    <n v="221"/>
    <n v="321"/>
    <n v="42"/>
    <n v="213"/>
    <n v="3"/>
    <n v="389"/>
    <s v=""/>
    <s v=""/>
    <s v=""/>
    <s v=""/>
    <s v=""/>
    <s v=""/>
  </r>
  <r>
    <s v="Brazil"/>
    <s v="Serie A"/>
    <n v="2024"/>
    <x v="0"/>
    <d v="1899-12-30T22:30:00"/>
    <x v="1"/>
    <s v="Bahia"/>
    <n v="2"/>
    <n v="1"/>
    <x v="1"/>
    <n v="19"/>
    <n v="343"/>
    <n v="458"/>
    <n v="193"/>
    <n v="357"/>
    <n v="462"/>
    <n v="187"/>
    <n v="338"/>
    <n v="431"/>
    <s v=""/>
    <s v=""/>
    <s v=""/>
    <s v=""/>
    <s v=""/>
    <s v=""/>
  </r>
  <r>
    <s v="Brazil"/>
    <s v="Serie A"/>
    <n v="2024"/>
    <x v="1"/>
    <d v="1899-12-30T01:00:00"/>
    <x v="2"/>
    <s v="Bragantino"/>
    <n v="2"/>
    <n v="2"/>
    <x v="0"/>
    <n v="175"/>
    <n v="363"/>
    <n v="531"/>
    <n v="191"/>
    <n v="365"/>
    <n v="531"/>
    <n v="178"/>
    <n v="348"/>
    <n v="479"/>
    <s v=""/>
    <s v=""/>
    <s v=""/>
    <s v=""/>
    <s v=""/>
    <s v=""/>
  </r>
  <r>
    <s v="Brazil"/>
    <s v="Serie A"/>
    <n v="2024"/>
    <x v="1"/>
    <d v="1899-12-30T01:00:00"/>
    <x v="3"/>
    <s v="Fortaleza"/>
    <n v="1"/>
    <n v="2"/>
    <x v="2"/>
    <n v="185"/>
    <n v="341"/>
    <n v="49"/>
    <n v="2"/>
    <n v="342"/>
    <n v="509"/>
    <n v="188"/>
    <n v="329"/>
    <n v="447"/>
    <s v=""/>
    <s v=""/>
    <s v=""/>
    <s v=""/>
    <s v=""/>
    <s v=""/>
  </r>
  <r>
    <s v="Brazil"/>
    <s v="Serie A"/>
    <n v="2024"/>
    <x v="1"/>
    <d v="1899-12-30T20:00:00"/>
    <x v="4"/>
    <s v="Cuiaba"/>
    <n v="4"/>
    <n v="0"/>
    <x v="1"/>
    <n v="156"/>
    <n v="385"/>
    <n v="733"/>
    <n v="162"/>
    <n v="385"/>
    <n v="733"/>
    <n v="157"/>
    <n v="369"/>
    <n v="661"/>
    <s v=""/>
    <s v=""/>
    <s v=""/>
    <s v=""/>
    <s v=""/>
    <s v=""/>
  </r>
  <r>
    <s v="Brazil"/>
    <s v="Serie A"/>
    <n v="2024"/>
    <x v="1"/>
    <d v="1899-12-30T20:00:00"/>
    <x v="5"/>
    <s v="Flamengo RJ"/>
    <n v="1"/>
    <n v="2"/>
    <x v="2"/>
    <n v="517"/>
    <n v="379"/>
    <n v="172"/>
    <n v="52"/>
    <n v="382"/>
    <n v="18"/>
    <n v="483"/>
    <n v="369"/>
    <n v="172"/>
    <s v=""/>
    <s v=""/>
    <s v=""/>
    <s v=""/>
    <s v=""/>
    <s v=""/>
  </r>
  <r>
    <s v="Brazil"/>
    <s v="Serie A"/>
    <n v="2024"/>
    <x v="1"/>
    <d v="1899-12-30T20:00:00"/>
    <x v="6"/>
    <s v="Atletico-MG"/>
    <n v="0"/>
    <n v="0"/>
    <x v="0"/>
    <n v="259"/>
    <n v="3"/>
    <n v="319"/>
    <n v="27"/>
    <n v="314"/>
    <n v="319"/>
    <n v="256"/>
    <n v="298"/>
    <n v="3"/>
    <s v=""/>
    <s v=""/>
    <s v=""/>
    <s v=""/>
    <s v=""/>
    <s v=""/>
  </r>
  <r>
    <s v="Brazil"/>
    <s v="Serie A"/>
    <n v="2024"/>
    <x v="1"/>
    <d v="1899-12-30T20:00:00"/>
    <x v="7"/>
    <s v="Gremio"/>
    <n v="2"/>
    <n v="1"/>
    <x v="1"/>
    <n v="218"/>
    <n v="331"/>
    <n v="366"/>
    <n v="227"/>
    <n v="339"/>
    <n v="369"/>
    <n v="217"/>
    <n v="322"/>
    <n v="34"/>
    <s v=""/>
    <s v=""/>
    <s v=""/>
    <s v=""/>
    <s v=""/>
    <s v=""/>
  </r>
  <r>
    <s v="Brazil"/>
    <s v="Serie A"/>
    <n v="2024"/>
    <x v="1"/>
    <d v="1899-12-30T21:00:00"/>
    <x v="8"/>
    <s v="Botafogo RJ"/>
    <n v="3"/>
    <n v="2"/>
    <x v="1"/>
    <n v="221"/>
    <n v="321"/>
    <n v="371"/>
    <n v="231"/>
    <n v="325"/>
    <n v="385"/>
    <n v="22"/>
    <n v="312"/>
    <n v="35"/>
    <s v=""/>
    <s v=""/>
    <s v=""/>
    <s v=""/>
    <s v=""/>
    <s v=""/>
  </r>
  <r>
    <s v="Brazil"/>
    <s v="Serie A"/>
    <n v="2024"/>
    <x v="1"/>
    <d v="1899-12-30T22:30:00"/>
    <x v="9"/>
    <s v="Palmeiras"/>
    <n v="0"/>
    <n v="1"/>
    <x v="2"/>
    <n v="395"/>
    <n v="334"/>
    <n v="207"/>
    <n v="4"/>
    <n v="358"/>
    <n v="214"/>
    <n v="372"/>
    <n v="332"/>
    <n v="204"/>
    <s v=""/>
    <s v=""/>
    <s v=""/>
    <s v=""/>
    <s v=""/>
    <s v=""/>
  </r>
  <r>
    <s v="Brazil"/>
    <s v="Serie A"/>
    <n v="2024"/>
    <x v="2"/>
    <d v="1899-12-30T01:30:00"/>
    <x v="10"/>
    <s v="Fluminense"/>
    <n v="2"/>
    <n v="1"/>
    <x v="1"/>
    <n v="212"/>
    <n v="348"/>
    <n v="363"/>
    <n v="219"/>
    <n v="351"/>
    <n v="375"/>
    <n v="211"/>
    <n v="34"/>
    <n v="343"/>
    <s v=""/>
    <s v=""/>
    <s v=""/>
    <s v=""/>
    <s v=""/>
    <s v=""/>
  </r>
  <r>
    <s v="Brazil"/>
    <s v="Serie A"/>
    <n v="2024"/>
    <x v="2"/>
    <d v="1899-12-30T23:00:00"/>
    <x v="11"/>
    <s v="Vasco"/>
    <n v="2"/>
    <n v="1"/>
    <x v="1"/>
    <n v="198"/>
    <n v="352"/>
    <n v="407"/>
    <n v="198"/>
    <n v="354"/>
    <n v="433"/>
    <n v="194"/>
    <n v="344"/>
    <n v="396"/>
    <s v=""/>
    <s v=""/>
    <s v=""/>
    <s v=""/>
    <s v=""/>
    <s v=""/>
  </r>
  <r>
    <s v="Brazil"/>
    <s v="Serie A"/>
    <n v="2024"/>
    <x v="2"/>
    <d v="1899-12-30T23:00:00"/>
    <x v="12"/>
    <s v="Athletico-PR"/>
    <n v="2"/>
    <n v="0"/>
    <x v="1"/>
    <n v="264"/>
    <n v="327"/>
    <n v="287"/>
    <n v="274"/>
    <n v="34"/>
    <n v="287"/>
    <n v="26"/>
    <n v="322"/>
    <n v="275"/>
    <s v=""/>
    <s v=""/>
    <s v=""/>
    <s v=""/>
    <s v=""/>
    <s v=""/>
  </r>
  <r>
    <s v="Brazil"/>
    <s v="Serie A"/>
    <n v="2024"/>
    <x v="3"/>
    <d v="1899-12-30T00:00:00"/>
    <x v="13"/>
    <s v="Criciuma"/>
    <n v="1"/>
    <n v="1"/>
    <x v="0"/>
    <n v="142"/>
    <n v="462"/>
    <n v="861"/>
    <n v="147"/>
    <n v="462"/>
    <n v="9"/>
    <n v="143"/>
    <n v="431"/>
    <n v="783"/>
    <s v=""/>
    <s v=""/>
    <s v=""/>
    <s v=""/>
    <s v=""/>
    <s v=""/>
  </r>
  <r>
    <s v="Brazil"/>
    <s v="Serie A"/>
    <n v="2024"/>
    <x v="3"/>
    <d v="1899-12-30T00:00:00"/>
    <x v="14"/>
    <s v="Cruzeiro"/>
    <n v="1"/>
    <n v="1"/>
    <x v="0"/>
    <n v="197"/>
    <n v="334"/>
    <n v="437"/>
    <n v="2"/>
    <n v="347"/>
    <n v="437"/>
    <n v="196"/>
    <n v="328"/>
    <n v="411"/>
    <s v=""/>
    <s v=""/>
    <s v=""/>
    <s v=""/>
    <s v=""/>
    <s v=""/>
  </r>
  <r>
    <s v="Brazil"/>
    <s v="Serie A"/>
    <n v="2024"/>
    <x v="3"/>
    <d v="1899-12-30T00:00:00"/>
    <x v="15"/>
    <s v="Corinthians"/>
    <n v="2"/>
    <n v="0"/>
    <x v="1"/>
    <n v="37"/>
    <n v="298"/>
    <n v="234"/>
    <n v="37"/>
    <n v="31"/>
    <n v="245"/>
    <n v="347"/>
    <n v="293"/>
    <n v="233"/>
    <s v=""/>
    <s v=""/>
    <s v=""/>
    <s v=""/>
    <s v=""/>
    <s v=""/>
  </r>
  <r>
    <s v="Brazil"/>
    <s v="Serie A"/>
    <n v="2024"/>
    <x v="3"/>
    <d v="1899-12-30T00:00:00"/>
    <x v="16"/>
    <s v="Internacional"/>
    <n v="0"/>
    <n v="1"/>
    <x v="2"/>
    <n v="169"/>
    <n v="361"/>
    <n v="593"/>
    <n v="177"/>
    <n v="363"/>
    <n v="6"/>
    <n v="168"/>
    <n v="355"/>
    <n v="555"/>
    <s v=""/>
    <s v=""/>
    <s v=""/>
    <s v=""/>
    <s v=""/>
    <s v=""/>
  </r>
  <r>
    <s v="Brazil"/>
    <s v="Serie A"/>
    <n v="2024"/>
    <x v="3"/>
    <d v="1899-12-30T01:30:00"/>
    <x v="17"/>
    <s v="Sao Paulo"/>
    <n v="2"/>
    <n v="1"/>
    <x v="1"/>
    <n v="169"/>
    <n v="355"/>
    <n v="609"/>
    <n v="178"/>
    <n v="37"/>
    <n v="609"/>
    <n v="17"/>
    <n v="344"/>
    <n v="555"/>
    <s v=""/>
    <s v=""/>
    <s v=""/>
    <s v=""/>
    <s v=""/>
    <s v=""/>
  </r>
  <r>
    <s v="Brazil"/>
    <s v="Serie A"/>
    <n v="2024"/>
    <x v="4"/>
    <d v="1899-12-30T01:30:00"/>
    <x v="18"/>
    <s v="Atletico GO"/>
    <n v="1"/>
    <n v="0"/>
    <x v="1"/>
    <n v="18"/>
    <n v="362"/>
    <n v="49"/>
    <n v="182"/>
    <n v="369"/>
    <n v="51"/>
    <n v="176"/>
    <n v="355"/>
    <n v="473"/>
    <s v=""/>
    <s v=""/>
    <s v=""/>
    <s v=""/>
    <s v=""/>
    <s v=""/>
  </r>
  <r>
    <s v="Brazil"/>
    <s v="Serie A"/>
    <n v="2024"/>
    <x v="5"/>
    <d v="1899-12-30T20:00:00"/>
    <x v="2"/>
    <s v="Vasco"/>
    <n v="2"/>
    <n v="1"/>
    <x v="1"/>
    <n v="201"/>
    <n v="343"/>
    <n v="41"/>
    <n v="205"/>
    <n v="365"/>
    <n v="45"/>
    <n v="196"/>
    <n v="338"/>
    <n v="393"/>
    <s v=""/>
    <s v=""/>
    <s v=""/>
    <s v=""/>
    <s v=""/>
    <s v=""/>
  </r>
  <r>
    <s v="Brazil"/>
    <s v="Serie A"/>
    <n v="2024"/>
    <x v="5"/>
    <d v="1899-12-30T22:30:00"/>
    <x v="11"/>
    <s v="Corinthians"/>
    <n v="1"/>
    <n v="0"/>
    <x v="1"/>
    <n v="227"/>
    <n v="33"/>
    <n v="346"/>
    <n v="229"/>
    <n v="348"/>
    <n v="35"/>
    <n v="222"/>
    <n v="325"/>
    <n v="331"/>
    <s v=""/>
    <s v=""/>
    <s v=""/>
    <s v=""/>
    <s v=""/>
    <s v=""/>
  </r>
  <r>
    <s v="Brazil"/>
    <s v="Serie A"/>
    <n v="2024"/>
    <x v="5"/>
    <d v="1899-12-30T22:30:00"/>
    <x v="12"/>
    <s v="Cuiaba"/>
    <n v="1"/>
    <n v="0"/>
    <x v="1"/>
    <n v="175"/>
    <n v="347"/>
    <n v="569"/>
    <n v="175"/>
    <n v="36"/>
    <n v="629"/>
    <n v="17"/>
    <n v="345"/>
    <n v="547"/>
    <s v=""/>
    <s v=""/>
    <s v=""/>
    <s v=""/>
    <s v=""/>
    <s v=""/>
  </r>
  <r>
    <s v="Brazil"/>
    <s v="Serie A"/>
    <n v="2024"/>
    <x v="6"/>
    <d v="1899-12-30T01:00:00"/>
    <x v="13"/>
    <s v="Cruzeiro"/>
    <n v="3"/>
    <n v="0"/>
    <x v="1"/>
    <n v="188"/>
    <n v="348"/>
    <n v="461"/>
    <n v="194"/>
    <n v="363"/>
    <n v="465"/>
    <n v="188"/>
    <n v="334"/>
    <n v="437"/>
    <s v=""/>
    <s v=""/>
    <s v=""/>
    <s v=""/>
    <s v=""/>
    <s v=""/>
  </r>
  <r>
    <s v="Brazil"/>
    <s v="Serie A"/>
    <n v="2024"/>
    <x v="6"/>
    <d v="1899-12-30T20:00:00"/>
    <x v="4"/>
    <s v="Internacional"/>
    <n v="1"/>
    <n v="0"/>
    <x v="1"/>
    <n v="204"/>
    <n v="33"/>
    <n v="413"/>
    <n v="205"/>
    <n v="355"/>
    <n v="413"/>
    <n v="199"/>
    <n v="333"/>
    <n v="387"/>
    <s v=""/>
    <s v=""/>
    <s v=""/>
    <s v=""/>
    <s v=""/>
    <s v=""/>
  </r>
  <r>
    <s v="Brazil"/>
    <s v="Serie A"/>
    <n v="2024"/>
    <x v="6"/>
    <d v="1899-12-30T20:00:00"/>
    <x v="16"/>
    <s v="Flamengo RJ"/>
    <n v="0"/>
    <n v="0"/>
    <x v="0"/>
    <n v="21"/>
    <n v="321"/>
    <n v="408"/>
    <n v="225"/>
    <n v="332"/>
    <n v="42"/>
    <n v="209"/>
    <n v="318"/>
    <n v="378"/>
    <s v=""/>
    <s v=""/>
    <s v=""/>
    <s v=""/>
    <s v=""/>
    <s v=""/>
  </r>
  <r>
    <s v="Brazil"/>
    <s v="Serie A"/>
    <n v="2024"/>
    <x v="6"/>
    <d v="1899-12-30T20:00:00"/>
    <x v="9"/>
    <s v="Bahia"/>
    <n v="2"/>
    <n v="2"/>
    <x v="0"/>
    <n v="343"/>
    <n v="326"/>
    <n v="23"/>
    <n v="354"/>
    <n v="338"/>
    <n v="25"/>
    <n v="326"/>
    <n v="325"/>
    <n v="226"/>
    <s v=""/>
    <s v=""/>
    <s v=""/>
    <s v=""/>
    <s v=""/>
    <s v=""/>
  </r>
  <r>
    <s v="Brazil"/>
    <s v="Serie A"/>
    <n v="2024"/>
    <x v="6"/>
    <d v="1899-12-30T22:30:00"/>
    <x v="5"/>
    <s v="Sao Paulo"/>
    <n v="0"/>
    <n v="3"/>
    <x v="2"/>
    <n v="303"/>
    <n v="303"/>
    <n v="268"/>
    <n v="303"/>
    <n v="315"/>
    <n v="28"/>
    <n v="287"/>
    <n v="299"/>
    <n v="265"/>
    <s v=""/>
    <s v=""/>
    <s v=""/>
    <s v=""/>
    <s v=""/>
    <s v=""/>
  </r>
  <r>
    <s v="Brazil"/>
    <s v="Serie A"/>
    <n v="2024"/>
    <x v="6"/>
    <d v="1899-12-30T22:30:00"/>
    <x v="18"/>
    <s v="Juventude"/>
    <n v="5"/>
    <n v="1"/>
    <x v="1"/>
    <n v="158"/>
    <n v="393"/>
    <n v="656"/>
    <n v="167"/>
    <n v="406"/>
    <n v="68"/>
    <n v="16"/>
    <n v="371"/>
    <n v="603"/>
    <s v=""/>
    <s v=""/>
    <s v=""/>
    <s v=""/>
    <s v=""/>
    <s v=""/>
  </r>
  <r>
    <s v="Brazil"/>
    <s v="Serie A"/>
    <n v="2024"/>
    <x v="7"/>
    <d v="1899-12-30T20:00:00"/>
    <x v="7"/>
    <s v="Criciuma"/>
    <n v="0"/>
    <n v="4"/>
    <x v="2"/>
    <n v="167"/>
    <n v="365"/>
    <n v="611"/>
    <n v="173"/>
    <n v="375"/>
    <n v="611"/>
    <n v="166"/>
    <n v="357"/>
    <n v="558"/>
    <s v=""/>
    <s v=""/>
    <s v=""/>
    <s v=""/>
    <s v=""/>
    <s v=""/>
  </r>
  <r>
    <s v="Brazil"/>
    <s v="Serie A"/>
    <n v="2024"/>
    <x v="7"/>
    <d v="1899-12-30T22:30:00"/>
    <x v="19"/>
    <s v="Atletico-MG"/>
    <n v="0"/>
    <n v="3"/>
    <x v="2"/>
    <n v="365"/>
    <n v="286"/>
    <n v="244"/>
    <n v="374"/>
    <n v="3"/>
    <n v="25"/>
    <n v="351"/>
    <n v="285"/>
    <n v="235"/>
    <s v=""/>
    <s v=""/>
    <s v=""/>
    <s v=""/>
    <s v=""/>
    <s v=""/>
  </r>
  <r>
    <s v="Brazil"/>
    <s v="Serie A"/>
    <n v="2024"/>
    <x v="8"/>
    <d v="1899-12-30T01:00:00"/>
    <x v="10"/>
    <s v="Gremio"/>
    <n v="1"/>
    <n v="0"/>
    <x v="1"/>
    <n v="174"/>
    <n v="394"/>
    <n v="484"/>
    <n v="179"/>
    <n v="394"/>
    <n v="5"/>
    <n v="172"/>
    <n v="376"/>
    <n v="465"/>
    <s v=""/>
    <s v=""/>
    <s v=""/>
    <s v=""/>
    <s v=""/>
    <s v=""/>
  </r>
  <r>
    <s v="Brazil"/>
    <s v="Serie A"/>
    <n v="2024"/>
    <x v="8"/>
    <d v="1899-12-30T15:00:00"/>
    <x v="17"/>
    <s v="Botafogo RJ"/>
    <n v="0"/>
    <n v="2"/>
    <x v="2"/>
    <n v="159"/>
    <n v="415"/>
    <n v="595"/>
    <n v="161"/>
    <n v="428"/>
    <n v="6"/>
    <n v="158"/>
    <n v="398"/>
    <n v="558"/>
    <s v=""/>
    <s v=""/>
    <s v=""/>
    <s v=""/>
    <s v=""/>
    <s v=""/>
  </r>
  <r>
    <s v="Brazil"/>
    <s v="Serie A"/>
    <n v="2024"/>
    <x v="8"/>
    <d v="1899-12-30T20:00:00"/>
    <x v="6"/>
    <s v="Fluminense"/>
    <n v="3"/>
    <n v="0"/>
    <x v="1"/>
    <n v="22"/>
    <n v="325"/>
    <n v="368"/>
    <n v="228"/>
    <n v="326"/>
    <n v="368"/>
    <n v="219"/>
    <n v="313"/>
    <n v="348"/>
    <s v=""/>
    <s v=""/>
    <s v=""/>
    <s v=""/>
    <s v=""/>
    <s v=""/>
  </r>
  <r>
    <s v="Brazil"/>
    <s v="Serie A"/>
    <n v="2024"/>
    <x v="8"/>
    <d v="1899-12-30T20:00:00"/>
    <x v="8"/>
    <s v="Vitoria"/>
    <n v="3"/>
    <n v="1"/>
    <x v="1"/>
    <n v="155"/>
    <n v="406"/>
    <n v="682"/>
    <n v="16"/>
    <n v="428"/>
    <n v="682"/>
    <n v="153"/>
    <n v="395"/>
    <n v="635"/>
    <s v=""/>
    <s v=""/>
    <s v=""/>
    <s v=""/>
    <s v=""/>
    <s v=""/>
  </r>
  <r>
    <s v="Brazil"/>
    <s v="Serie A"/>
    <n v="2024"/>
    <x v="8"/>
    <d v="1899-12-30T22:30:00"/>
    <x v="14"/>
    <s v="Bragantino"/>
    <n v="1"/>
    <n v="1"/>
    <x v="0"/>
    <n v="226"/>
    <n v="323"/>
    <n v="356"/>
    <n v="23"/>
    <n v="34"/>
    <n v="36"/>
    <n v="22"/>
    <n v="318"/>
    <n v="338"/>
    <s v=""/>
    <s v=""/>
    <s v=""/>
    <s v=""/>
    <s v=""/>
    <s v=""/>
  </r>
  <r>
    <s v="Brazil"/>
    <s v="Serie A"/>
    <n v="2024"/>
    <x v="8"/>
    <d v="1899-12-30T22:30:00"/>
    <x v="15"/>
    <s v="Athletico-PR"/>
    <n v="1"/>
    <n v="1"/>
    <x v="0"/>
    <n v="302"/>
    <n v="295"/>
    <n v="276"/>
    <n v="306"/>
    <n v="32"/>
    <n v="276"/>
    <n v="291"/>
    <n v="297"/>
    <n v="262"/>
    <s v=""/>
    <s v=""/>
    <s v=""/>
    <s v=""/>
    <s v=""/>
    <s v=""/>
  </r>
  <r>
    <s v="Brazil"/>
    <s v="Serie A"/>
    <n v="2024"/>
    <x v="9"/>
    <d v="1899-12-30T00:00:00"/>
    <x v="1"/>
    <s v="Atletico GO"/>
    <n v="1"/>
    <n v="1"/>
    <x v="0"/>
    <n v="157"/>
    <n v="383"/>
    <n v="723"/>
    <n v="158"/>
    <n v="41"/>
    <n v="732"/>
    <n v="153"/>
    <n v="379"/>
    <n v="663"/>
    <s v=""/>
    <s v=""/>
    <s v=""/>
    <s v=""/>
    <s v=""/>
    <s v=""/>
  </r>
  <r>
    <s v="Brazil"/>
    <s v="Serie A"/>
    <n v="2024"/>
    <x v="10"/>
    <d v="1899-12-30T00:00:00"/>
    <x v="3"/>
    <s v="Palmeiras"/>
    <n v="0"/>
    <n v="0"/>
    <x v="0"/>
    <n v="265"/>
    <n v="298"/>
    <n v="312"/>
    <n v="277"/>
    <n v="305"/>
    <n v="315"/>
    <n v="261"/>
    <n v="292"/>
    <n v="298"/>
    <s v=""/>
    <s v=""/>
    <s v=""/>
    <s v=""/>
    <s v=""/>
    <s v=""/>
  </r>
  <r>
    <s v="Brazil"/>
    <s v="Serie A"/>
    <n v="2024"/>
    <x v="11"/>
    <d v="1899-12-30T20:00:00"/>
    <x v="2"/>
    <s v="Atletico-MG"/>
    <n v="2"/>
    <n v="2"/>
    <x v="0"/>
    <n v="373"/>
    <n v="333"/>
    <n v="215"/>
    <n v="373"/>
    <n v="337"/>
    <n v="226"/>
    <n v="344"/>
    <n v="324"/>
    <n v="216"/>
    <s v=""/>
    <s v=""/>
    <s v=""/>
    <s v=""/>
    <s v=""/>
    <s v=""/>
  </r>
  <r>
    <s v="Brazil"/>
    <s v="Serie A"/>
    <n v="2024"/>
    <x v="11"/>
    <d v="1899-12-30T22:30:00"/>
    <x v="11"/>
    <s v="Flamengo RJ"/>
    <n v="1"/>
    <n v="1"/>
    <x v="0"/>
    <n v="282"/>
    <n v="317"/>
    <n v="275"/>
    <n v="29"/>
    <n v="325"/>
    <n v="275"/>
    <n v="28"/>
    <n v="311"/>
    <n v="26"/>
    <s v=""/>
    <s v=""/>
    <s v=""/>
    <s v=""/>
    <s v=""/>
    <s v=""/>
  </r>
  <r>
    <s v="Brazil"/>
    <s v="Serie A"/>
    <n v="2024"/>
    <x v="12"/>
    <d v="1899-12-30T01:00:00"/>
    <x v="6"/>
    <s v="Fortaleza"/>
    <n v="0"/>
    <n v="0"/>
    <x v="0"/>
    <n v="215"/>
    <n v="313"/>
    <n v="4"/>
    <n v="221"/>
    <n v="33"/>
    <n v="41"/>
    <n v="213"/>
    <n v="306"/>
    <n v="378"/>
    <s v=""/>
    <s v=""/>
    <s v=""/>
    <s v=""/>
    <s v=""/>
    <s v=""/>
  </r>
  <r>
    <s v="Brazil"/>
    <s v="Serie A"/>
    <n v="2024"/>
    <x v="12"/>
    <d v="1899-12-30T20:00:00"/>
    <x v="4"/>
    <s v="Vasco"/>
    <n v="1"/>
    <n v="0"/>
    <x v="1"/>
    <n v="168"/>
    <n v="383"/>
    <n v="551"/>
    <n v="17"/>
    <n v="405"/>
    <n v="56"/>
    <n v="166"/>
    <n v="373"/>
    <n v="522"/>
    <s v=""/>
    <s v=""/>
    <s v=""/>
    <s v=""/>
    <s v=""/>
    <s v=""/>
  </r>
  <r>
    <s v="Brazil"/>
    <s v="Serie A"/>
    <n v="2024"/>
    <x v="12"/>
    <d v="1899-12-30T20:00:00"/>
    <x v="9"/>
    <s v="Sao Paulo"/>
    <n v="1"/>
    <n v="3"/>
    <x v="2"/>
    <n v="385"/>
    <n v="305"/>
    <n v="224"/>
    <n v="385"/>
    <n v="325"/>
    <n v="225"/>
    <n v="366"/>
    <n v="304"/>
    <n v="218"/>
    <s v=""/>
    <s v=""/>
    <s v=""/>
    <s v=""/>
    <s v=""/>
    <s v=""/>
  </r>
  <r>
    <s v="Brazil"/>
    <s v="Serie A"/>
    <n v="2024"/>
    <x v="12"/>
    <d v="1899-12-30T22:30:00"/>
    <x v="18"/>
    <s v="Bahia"/>
    <n v="1"/>
    <n v="2"/>
    <x v="2"/>
    <n v="215"/>
    <n v="355"/>
    <n v="35"/>
    <n v="219"/>
    <n v="363"/>
    <n v="35"/>
    <n v="211"/>
    <n v="348"/>
    <n v="334"/>
    <s v=""/>
    <s v=""/>
    <s v=""/>
    <s v=""/>
    <s v=""/>
    <s v=""/>
  </r>
  <r>
    <s v="Brazil"/>
    <s v="Serie A"/>
    <n v="2024"/>
    <x v="12"/>
    <d v="1899-12-30T22:30:00"/>
    <x v="19"/>
    <s v="Palmeiras"/>
    <n v="0"/>
    <n v="2"/>
    <x v="2"/>
    <n v="529"/>
    <n v="315"/>
    <n v="189"/>
    <n v="56"/>
    <n v="345"/>
    <n v="191"/>
    <n v="499"/>
    <n v="318"/>
    <n v="183"/>
    <s v=""/>
    <s v=""/>
    <s v=""/>
    <s v=""/>
    <s v=""/>
    <s v=""/>
  </r>
  <r>
    <s v="Brazil"/>
    <s v="Serie A"/>
    <n v="2024"/>
    <x v="13"/>
    <d v="1899-12-30T20:00:00"/>
    <x v="17"/>
    <s v="Corinthians"/>
    <n v="2"/>
    <n v="0"/>
    <x v="1"/>
    <n v="16"/>
    <n v="391"/>
    <n v="643"/>
    <n v="165"/>
    <n v="42"/>
    <n v="65"/>
    <n v="159"/>
    <n v="38"/>
    <n v="603"/>
    <s v=""/>
    <s v=""/>
    <s v=""/>
    <s v=""/>
    <s v=""/>
    <s v=""/>
  </r>
  <r>
    <s v="Brazil"/>
    <s v="Serie A"/>
    <n v="2024"/>
    <x v="14"/>
    <d v="1899-12-30T20:00:00"/>
    <x v="5"/>
    <s v="Cruzeiro"/>
    <n v="0"/>
    <n v="1"/>
    <x v="2"/>
    <n v="314"/>
    <n v="317"/>
    <n v="251"/>
    <n v="314"/>
    <n v="33"/>
    <n v="28"/>
    <n v="298"/>
    <n v="311"/>
    <n v="248"/>
    <s v=""/>
    <s v=""/>
    <s v=""/>
    <s v=""/>
    <s v=""/>
    <s v=""/>
  </r>
  <r>
    <s v="Brazil"/>
    <s v="Serie A"/>
    <n v="2024"/>
    <x v="14"/>
    <d v="1899-12-30T20:00:00"/>
    <x v="14"/>
    <s v="Botafogo RJ"/>
    <n v="1"/>
    <n v="1"/>
    <x v="0"/>
    <n v="198"/>
    <n v="346"/>
    <n v="415"/>
    <n v="211"/>
    <n v="35"/>
    <n v="428"/>
    <n v="196"/>
    <n v="338"/>
    <n v="397"/>
    <s v=""/>
    <s v=""/>
    <s v=""/>
    <s v=""/>
    <s v=""/>
    <s v=""/>
  </r>
  <r>
    <s v="Brazil"/>
    <s v="Serie A"/>
    <n v="2024"/>
    <x v="14"/>
    <d v="1899-12-30T20:00:00"/>
    <x v="16"/>
    <s v="Athletico-PR"/>
    <n v="0"/>
    <n v="2"/>
    <x v="2"/>
    <n v="171"/>
    <n v="379"/>
    <n v="526"/>
    <n v="175"/>
    <n v="386"/>
    <n v="526"/>
    <n v="17"/>
    <n v="367"/>
    <n v="496"/>
    <s v=""/>
    <s v=""/>
    <s v=""/>
    <s v=""/>
    <s v=""/>
    <s v=""/>
  </r>
  <r>
    <s v="Brazil"/>
    <s v="Serie A"/>
    <n v="2024"/>
    <x v="14"/>
    <d v="1899-12-30T22:30:00"/>
    <x v="10"/>
    <s v="Bragantino"/>
    <n v="1"/>
    <n v="0"/>
    <x v="1"/>
    <n v="181"/>
    <n v="377"/>
    <n v="451"/>
    <n v="192"/>
    <n v="387"/>
    <n v="465"/>
    <n v="179"/>
    <n v="37"/>
    <n v="433"/>
    <s v=""/>
    <s v=""/>
    <s v=""/>
    <s v=""/>
    <s v=""/>
    <s v=""/>
  </r>
  <r>
    <s v="Brazil"/>
    <s v="Serie A"/>
    <n v="2024"/>
    <x v="14"/>
    <d v="1899-12-30T22:30:00"/>
    <x v="7"/>
    <s v="Vitoria"/>
    <n v="2"/>
    <n v="1"/>
    <x v="1"/>
    <n v="176"/>
    <n v="365"/>
    <n v="518"/>
    <n v="179"/>
    <n v="374"/>
    <n v="518"/>
    <n v="173"/>
    <n v="36"/>
    <n v="489"/>
    <s v=""/>
    <s v=""/>
    <s v=""/>
    <s v=""/>
    <s v=""/>
    <s v=""/>
  </r>
  <r>
    <s v="Brazil"/>
    <s v="Serie A"/>
    <n v="2024"/>
    <x v="15"/>
    <d v="1899-12-30T00:00:00"/>
    <x v="3"/>
    <s v="Fluminense"/>
    <n v="2"/>
    <n v="1"/>
    <x v="1"/>
    <n v="172"/>
    <n v="366"/>
    <n v="545"/>
    <n v="175"/>
    <n v="375"/>
    <n v="55"/>
    <n v="169"/>
    <n v="36"/>
    <n v="515"/>
    <s v=""/>
    <s v=""/>
    <s v=""/>
    <s v=""/>
    <s v=""/>
    <s v=""/>
  </r>
  <r>
    <s v="Brazil"/>
    <s v="Serie A"/>
    <n v="2024"/>
    <x v="16"/>
    <d v="1899-12-30T20:00:00"/>
    <x v="12"/>
    <s v="Bragantino"/>
    <n v="0"/>
    <n v="2"/>
    <x v="2"/>
    <n v="332"/>
    <n v="324"/>
    <n v="236"/>
    <n v="333"/>
    <n v="324"/>
    <n v="245"/>
    <n v="317"/>
    <n v="315"/>
    <n v="234"/>
    <s v=""/>
    <s v=""/>
    <s v=""/>
    <s v=""/>
    <s v=""/>
    <s v=""/>
  </r>
  <r>
    <s v="Brazil"/>
    <s v="Serie A"/>
    <n v="2024"/>
    <x v="16"/>
    <d v="1899-12-30T20:00:00"/>
    <x v="9"/>
    <s v="Atletico GO"/>
    <n v="0"/>
    <n v="2"/>
    <x v="2"/>
    <n v="224"/>
    <n v="318"/>
    <n v="366"/>
    <n v="231"/>
    <n v="33"/>
    <n v="37"/>
    <n v="22"/>
    <n v="312"/>
    <n v="351"/>
    <s v=""/>
    <s v=""/>
    <s v=""/>
    <s v=""/>
    <s v=""/>
    <s v=""/>
  </r>
  <r>
    <s v="Brazil"/>
    <s v="Serie A"/>
    <n v="2024"/>
    <x v="16"/>
    <d v="1899-12-30T22:30:00"/>
    <x v="19"/>
    <s v="Internacional"/>
    <n v="0"/>
    <n v="1"/>
    <x v="2"/>
    <n v="387"/>
    <n v="304"/>
    <n v="224"/>
    <n v="39"/>
    <n v="314"/>
    <n v="232"/>
    <n v="367"/>
    <n v="297"/>
    <n v="221"/>
    <s v=""/>
    <s v=""/>
    <s v=""/>
    <s v=""/>
    <s v=""/>
    <s v=""/>
  </r>
  <r>
    <s v="Brazil"/>
    <s v="Serie A"/>
    <n v="2024"/>
    <x v="16"/>
    <d v="1899-12-30T22:30:00"/>
    <x v="2"/>
    <s v="Juventude"/>
    <n v="1"/>
    <n v="1"/>
    <x v="0"/>
    <n v="159"/>
    <n v="411"/>
    <n v="604"/>
    <n v="16"/>
    <n v="432"/>
    <n v="62"/>
    <n v="156"/>
    <n v="404"/>
    <n v="58"/>
    <s v=""/>
    <s v=""/>
    <s v=""/>
    <s v=""/>
    <s v=""/>
    <s v=""/>
  </r>
  <r>
    <s v="Brazil"/>
    <s v="Serie A"/>
    <n v="2024"/>
    <x v="17"/>
    <d v="1899-12-30T01:00:00"/>
    <x v="6"/>
    <s v="Botafogo RJ"/>
    <n v="0"/>
    <n v="1"/>
    <x v="2"/>
    <n v="215"/>
    <n v="333"/>
    <n v="373"/>
    <n v="222"/>
    <n v="335"/>
    <n v="385"/>
    <n v="214"/>
    <n v="323"/>
    <n v="351"/>
    <s v=""/>
    <s v=""/>
    <s v=""/>
    <s v=""/>
    <s v=""/>
    <s v=""/>
  </r>
  <r>
    <s v="Brazil"/>
    <s v="Serie A"/>
    <n v="2024"/>
    <x v="17"/>
    <d v="1899-12-30T20:00:00"/>
    <x v="13"/>
    <s v="Bahia"/>
    <n v="1"/>
    <n v="1"/>
    <x v="0"/>
    <n v="181"/>
    <n v="371"/>
    <n v="47"/>
    <n v="184"/>
    <n v="38"/>
    <n v="5"/>
    <n v="177"/>
    <n v="363"/>
    <n v="449"/>
    <s v=""/>
    <s v=""/>
    <s v=""/>
    <s v=""/>
    <s v=""/>
    <s v=""/>
  </r>
  <r>
    <s v="Brazil"/>
    <s v="Serie A"/>
    <n v="2024"/>
    <x v="17"/>
    <d v="1899-12-30T20:00:00"/>
    <x v="0"/>
    <s v="Palmeiras"/>
    <n v="1"/>
    <n v="2"/>
    <x v="2"/>
    <n v="489"/>
    <n v="338"/>
    <n v="187"/>
    <n v="498"/>
    <n v="339"/>
    <n v="195"/>
    <n v="461"/>
    <n v="328"/>
    <n v="186"/>
    <s v=""/>
    <s v=""/>
    <s v=""/>
    <s v=""/>
    <s v=""/>
    <s v=""/>
  </r>
  <r>
    <s v="Brazil"/>
    <s v="Serie A"/>
    <n v="2024"/>
    <x v="17"/>
    <d v="1899-12-30T20:00:00"/>
    <x v="7"/>
    <s v="Flamengo RJ"/>
    <n v="1"/>
    <n v="6"/>
    <x v="2"/>
    <n v="512"/>
    <n v="389"/>
    <n v="171"/>
    <n v="523"/>
    <n v="397"/>
    <n v="178"/>
    <n v="489"/>
    <n v="375"/>
    <n v="169"/>
    <s v=""/>
    <s v=""/>
    <s v=""/>
    <s v=""/>
    <s v=""/>
    <s v=""/>
  </r>
  <r>
    <s v="Brazil"/>
    <s v="Serie A"/>
    <n v="2024"/>
    <x v="17"/>
    <d v="1899-12-30T22:30:00"/>
    <x v="14"/>
    <s v="Athletico-PR"/>
    <n v="1"/>
    <n v="0"/>
    <x v="1"/>
    <n v="196"/>
    <n v="337"/>
    <n v="438"/>
    <n v="204"/>
    <n v="345"/>
    <n v="44"/>
    <n v="193"/>
    <n v="33"/>
    <n v="417"/>
    <s v=""/>
    <s v=""/>
    <s v=""/>
    <s v=""/>
    <s v=""/>
    <s v=""/>
  </r>
  <r>
    <s v="Brazil"/>
    <s v="Serie A"/>
    <n v="2024"/>
    <x v="17"/>
    <d v="1899-12-30T22:30:00"/>
    <x v="3"/>
    <s v="Cruzeiro"/>
    <n v="2"/>
    <n v="0"/>
    <x v="1"/>
    <n v="197"/>
    <n v="327"/>
    <n v="452"/>
    <n v="198"/>
    <n v="336"/>
    <n v="485"/>
    <n v="194"/>
    <n v="317"/>
    <n v="434"/>
    <s v=""/>
    <s v=""/>
    <s v=""/>
    <s v=""/>
    <s v=""/>
    <s v=""/>
  </r>
  <r>
    <s v="Brazil"/>
    <s v="Serie A"/>
    <n v="2024"/>
    <x v="18"/>
    <d v="1899-12-30T23:00:00"/>
    <x v="15"/>
    <s v="Atletico GO"/>
    <n v="1"/>
    <n v="0"/>
    <x v="1"/>
    <n v="241"/>
    <n v="296"/>
    <n v="357"/>
    <n v="247"/>
    <n v="308"/>
    <n v="357"/>
    <n v="237"/>
    <n v="293"/>
    <n v="336"/>
    <s v=""/>
    <s v=""/>
    <s v=""/>
    <s v=""/>
    <s v=""/>
    <s v=""/>
  </r>
  <r>
    <s v="Brazil"/>
    <s v="Serie A"/>
    <n v="2024"/>
    <x v="19"/>
    <d v="1899-12-30T00:00:00"/>
    <x v="19"/>
    <s v="Vitoria"/>
    <n v="0"/>
    <n v="0"/>
    <x v="0"/>
    <n v="223"/>
    <n v="298"/>
    <n v="401"/>
    <n v="225"/>
    <n v="305"/>
    <n v="401"/>
    <n v="218"/>
    <n v="295"/>
    <n v="38"/>
    <s v=""/>
    <s v=""/>
    <s v=""/>
    <s v=""/>
    <s v=""/>
    <s v=""/>
  </r>
  <r>
    <s v="Brazil"/>
    <s v="Serie A"/>
    <n v="2024"/>
    <x v="20"/>
    <d v="1899-12-30T20:00:00"/>
    <x v="0"/>
    <s v="Cuiaba"/>
    <n v="2"/>
    <n v="5"/>
    <x v="2"/>
    <n v="215"/>
    <n v="313"/>
    <n v="387"/>
    <n v="22"/>
    <n v="326"/>
    <n v="4"/>
    <n v="213"/>
    <n v="306"/>
    <n v="376"/>
    <s v=""/>
    <s v=""/>
    <s v=""/>
    <s v=""/>
    <s v=""/>
    <s v=""/>
  </r>
  <r>
    <s v="Brazil"/>
    <s v="Serie A"/>
    <n v="2024"/>
    <x v="21"/>
    <d v="1899-12-30T23:00:00"/>
    <x v="5"/>
    <s v="Corinthians"/>
    <n v="2"/>
    <n v="2"/>
    <x v="0"/>
    <n v="26"/>
    <n v="306"/>
    <n v="304"/>
    <n v="27"/>
    <n v="323"/>
    <n v="306"/>
    <n v="259"/>
    <n v="302"/>
    <n v="291"/>
    <s v=""/>
    <s v=""/>
    <s v=""/>
    <s v=""/>
    <s v=""/>
    <s v=""/>
  </r>
  <r>
    <s v="Brazil"/>
    <s v="Serie A"/>
    <n v="2024"/>
    <x v="21"/>
    <d v="1899-12-30T23:00:00"/>
    <x v="15"/>
    <s v="Vitoria"/>
    <n v="1"/>
    <n v="1"/>
    <x v="0"/>
    <n v="201"/>
    <n v="315"/>
    <n v="439"/>
    <n v="204"/>
    <n v="325"/>
    <n v="462"/>
    <n v="197"/>
    <n v="314"/>
    <n v="425"/>
    <s v=""/>
    <s v=""/>
    <s v=""/>
    <s v=""/>
    <s v=""/>
    <s v=""/>
  </r>
  <r>
    <s v="Brazil"/>
    <s v="Serie A"/>
    <n v="2024"/>
    <x v="22"/>
    <d v="1899-12-30T00:00:00"/>
    <x v="18"/>
    <s v="Fluminense"/>
    <n v="1"/>
    <n v="0"/>
    <x v="1"/>
    <n v="2"/>
    <n v="326"/>
    <n v="425"/>
    <n v="205"/>
    <n v="34"/>
    <n v="433"/>
    <n v="196"/>
    <n v="329"/>
    <n v="406"/>
    <s v=""/>
    <s v=""/>
    <s v=""/>
    <s v=""/>
    <s v=""/>
    <s v=""/>
  </r>
  <r>
    <s v="Brazil"/>
    <s v="Serie A"/>
    <n v="2024"/>
    <x v="22"/>
    <d v="1899-12-30T01:30:00"/>
    <x v="11"/>
    <s v="Atletico-MG"/>
    <n v="1"/>
    <n v="2"/>
    <x v="2"/>
    <n v="23"/>
    <n v="317"/>
    <n v="343"/>
    <n v="236"/>
    <n v="326"/>
    <n v="347"/>
    <n v="229"/>
    <n v="312"/>
    <n v="327"/>
    <s v=""/>
    <s v=""/>
    <s v=""/>
    <s v=""/>
    <s v=""/>
    <s v=""/>
  </r>
  <r>
    <s v="Brazil"/>
    <s v="Serie A"/>
    <n v="2024"/>
    <x v="23"/>
    <d v="1899-12-30T23:00:00"/>
    <x v="8"/>
    <s v="Cuiaba"/>
    <n v="2"/>
    <n v="1"/>
    <x v="1"/>
    <n v="16"/>
    <n v="375"/>
    <n v="678"/>
    <n v="162"/>
    <n v="39"/>
    <n v="7"/>
    <n v="158"/>
    <n v="365"/>
    <n v="656"/>
    <s v=""/>
    <s v=""/>
    <s v=""/>
    <s v=""/>
    <s v=""/>
    <s v=""/>
  </r>
  <r>
    <s v="Brazil"/>
    <s v="Serie A"/>
    <n v="2024"/>
    <x v="24"/>
    <d v="1899-12-30T00:00:00"/>
    <x v="4"/>
    <s v="Criciuma"/>
    <n v="3"/>
    <n v="1"/>
    <x v="1"/>
    <n v="15"/>
    <n v="437"/>
    <n v="709"/>
    <n v="151"/>
    <n v="44"/>
    <n v="75"/>
    <n v="147"/>
    <n v="423"/>
    <n v="685"/>
    <s v=""/>
    <s v=""/>
    <s v=""/>
    <s v=""/>
    <s v=""/>
    <s v=""/>
  </r>
  <r>
    <s v="Brazil"/>
    <s v="Serie A"/>
    <n v="2024"/>
    <x v="24"/>
    <d v="1899-12-30T00:00:00"/>
    <x v="17"/>
    <s v="Gremio"/>
    <n v="2"/>
    <n v="1"/>
    <x v="1"/>
    <n v="157"/>
    <n v="401"/>
    <n v="656"/>
    <n v="16"/>
    <n v="41"/>
    <n v="656"/>
    <n v="156"/>
    <n v="393"/>
    <n v="611"/>
    <s v=""/>
    <s v=""/>
    <s v=""/>
    <s v=""/>
    <s v=""/>
    <s v=""/>
  </r>
  <r>
    <s v="Brazil"/>
    <s v="Serie A"/>
    <n v="2024"/>
    <x v="24"/>
    <d v="1899-12-30T00:00:00"/>
    <x v="1"/>
    <s v="Sao Paulo"/>
    <n v="0"/>
    <n v="0"/>
    <x v="0"/>
    <n v="24"/>
    <n v="309"/>
    <n v="342"/>
    <n v="26"/>
    <n v="31"/>
    <n v="342"/>
    <n v="238"/>
    <n v="299"/>
    <n v="328"/>
    <s v=""/>
    <s v=""/>
    <s v=""/>
    <s v=""/>
    <s v=""/>
    <s v=""/>
  </r>
  <r>
    <s v="Brazil"/>
    <s v="Serie A"/>
    <n v="2024"/>
    <x v="24"/>
    <d v="1899-12-30T01:30:00"/>
    <x v="10"/>
    <s v="Fortaleza"/>
    <n v="1"/>
    <n v="0"/>
    <x v="1"/>
    <n v="192"/>
    <n v="369"/>
    <n v="412"/>
    <n v="205"/>
    <n v="376"/>
    <n v="45"/>
    <n v="185"/>
    <n v="358"/>
    <n v="417"/>
    <s v=""/>
    <s v=""/>
    <s v=""/>
    <s v=""/>
    <s v=""/>
    <s v=""/>
  </r>
  <r>
    <s v="Brazil"/>
    <s v="Serie A"/>
    <n v="2024"/>
    <x v="24"/>
    <d v="1899-12-30T01:30:00"/>
    <x v="16"/>
    <s v="Vasco"/>
    <n v="2"/>
    <n v="0"/>
    <x v="1"/>
    <n v="147"/>
    <n v="436"/>
    <n v="778"/>
    <n v="147"/>
    <n v="45"/>
    <n v="8"/>
    <n v="144"/>
    <n v="429"/>
    <n v="739"/>
    <s v=""/>
    <s v=""/>
    <s v=""/>
    <s v=""/>
    <s v=""/>
    <s v=""/>
  </r>
  <r>
    <s v="Brazil"/>
    <s v="Serie A"/>
    <n v="2024"/>
    <x v="25"/>
    <d v="1899-12-30T22:30:00"/>
    <x v="11"/>
    <s v="Juventude"/>
    <n v="2"/>
    <n v="1"/>
    <x v="1"/>
    <n v="162"/>
    <n v="384"/>
    <n v="639"/>
    <n v="165"/>
    <n v="4"/>
    <n v="639"/>
    <n v="159"/>
    <n v="383"/>
    <n v="587"/>
    <s v=""/>
    <s v=""/>
    <s v=""/>
    <s v=""/>
    <s v=""/>
    <s v=""/>
  </r>
  <r>
    <s v="Brazil"/>
    <s v="Serie A"/>
    <n v="2024"/>
    <x v="26"/>
    <d v="1899-12-30T01:00:00"/>
    <x v="2"/>
    <s v="Atletico GO"/>
    <n v="1"/>
    <n v="2"/>
    <x v="2"/>
    <n v="188"/>
    <n v="341"/>
    <n v="478"/>
    <n v="196"/>
    <n v="367"/>
    <n v="478"/>
    <n v="187"/>
    <n v="341"/>
    <n v="431"/>
    <s v=""/>
    <s v=""/>
    <s v=""/>
    <s v=""/>
    <s v=""/>
    <s v=""/>
  </r>
  <r>
    <s v="Brazil"/>
    <s v="Serie A"/>
    <n v="2024"/>
    <x v="26"/>
    <d v="1899-12-30T20:00:00"/>
    <x v="4"/>
    <s v="Flamengo RJ"/>
    <n v="1"/>
    <n v="1"/>
    <x v="0"/>
    <n v="261"/>
    <n v="316"/>
    <n v="3"/>
    <n v="273"/>
    <n v="32"/>
    <n v="305"/>
    <n v="258"/>
    <n v="311"/>
    <n v="284"/>
    <s v=""/>
    <s v=""/>
    <s v=""/>
    <s v=""/>
    <s v=""/>
    <s v=""/>
  </r>
  <r>
    <s v="Brazil"/>
    <s v="Serie A"/>
    <n v="2024"/>
    <x v="26"/>
    <d v="1899-12-30T20:00:00"/>
    <x v="6"/>
    <s v="Sao Paulo"/>
    <n v="2"/>
    <n v="2"/>
    <x v="0"/>
    <n v="351"/>
    <n v="307"/>
    <n v="237"/>
    <n v="351"/>
    <n v="314"/>
    <n v="24"/>
    <n v="334"/>
    <n v="302"/>
    <n v="234"/>
    <s v=""/>
    <s v=""/>
    <s v=""/>
    <s v=""/>
    <s v=""/>
    <s v=""/>
  </r>
  <r>
    <s v="Brazil"/>
    <s v="Serie A"/>
    <n v="2024"/>
    <x v="26"/>
    <d v="1899-12-30T20:00:00"/>
    <x v="9"/>
    <s v="Internacional"/>
    <n v="2"/>
    <n v="1"/>
    <x v="1"/>
    <n v="276"/>
    <n v="289"/>
    <n v="309"/>
    <n v="282"/>
    <n v="292"/>
    <n v="31"/>
    <n v="27"/>
    <n v="284"/>
    <n v="296"/>
    <s v=""/>
    <s v=""/>
    <s v=""/>
    <s v=""/>
    <s v=""/>
    <s v=""/>
  </r>
  <r>
    <s v="Brazil"/>
    <s v="Serie A"/>
    <n v="2024"/>
    <x v="26"/>
    <d v="1899-12-30T22:30:00"/>
    <x v="0"/>
    <s v="Bahia"/>
    <n v="2"/>
    <n v="2"/>
    <x v="0"/>
    <n v="363"/>
    <n v="321"/>
    <n v="224"/>
    <n v="37"/>
    <n v="325"/>
    <n v="225"/>
    <n v="349"/>
    <n v="318"/>
    <n v="218"/>
    <s v=""/>
    <s v=""/>
    <s v=""/>
    <s v=""/>
    <s v=""/>
    <s v=""/>
  </r>
  <r>
    <s v="Brazil"/>
    <s v="Serie A"/>
    <n v="2024"/>
    <x v="26"/>
    <d v="1899-12-30T22:30:00"/>
    <x v="19"/>
    <s v="Fortaleza"/>
    <n v="5"/>
    <n v="0"/>
    <x v="1"/>
    <n v="324"/>
    <n v="297"/>
    <n v="258"/>
    <n v="348"/>
    <n v="297"/>
    <n v="267"/>
    <n v="318"/>
    <n v="287"/>
    <n v="253"/>
    <s v=""/>
    <s v=""/>
    <s v=""/>
    <s v=""/>
    <s v=""/>
    <s v=""/>
  </r>
  <r>
    <s v="Brazil"/>
    <s v="Serie A"/>
    <n v="2024"/>
    <x v="26"/>
    <d v="1899-12-30T22:30:00"/>
    <x v="12"/>
    <s v="Botafogo RJ"/>
    <n v="1"/>
    <n v="2"/>
    <x v="2"/>
    <n v="359"/>
    <n v="324"/>
    <n v="224"/>
    <n v="372"/>
    <n v="329"/>
    <n v="227"/>
    <n v="348"/>
    <n v="315"/>
    <n v="219"/>
    <s v=""/>
    <s v=""/>
    <s v=""/>
    <s v=""/>
    <s v=""/>
    <s v=""/>
  </r>
  <r>
    <s v="Brazil"/>
    <s v="Serie A"/>
    <n v="2024"/>
    <x v="26"/>
    <d v="1899-12-30T22:30:00"/>
    <x v="7"/>
    <s v="Cruzeiro"/>
    <n v="0"/>
    <n v="0"/>
    <x v="0"/>
    <n v="289"/>
    <n v="313"/>
    <n v="272"/>
    <n v="29"/>
    <n v="323"/>
    <n v="28"/>
    <n v="278"/>
    <n v="307"/>
    <n v="267"/>
    <s v=""/>
    <s v=""/>
    <s v=""/>
    <s v=""/>
    <s v=""/>
    <s v=""/>
  </r>
  <r>
    <s v="Brazil"/>
    <s v="Serie A"/>
    <n v="2024"/>
    <x v="27"/>
    <d v="1899-12-30T00:30:00"/>
    <x v="13"/>
    <s v="Palmeiras"/>
    <n v="0"/>
    <n v="4"/>
    <x v="2"/>
    <n v="268"/>
    <n v="313"/>
    <n v="294"/>
    <n v="275"/>
    <n v="318"/>
    <n v="297"/>
    <n v="263"/>
    <n v="307"/>
    <n v="281"/>
    <s v=""/>
    <s v=""/>
    <s v=""/>
    <s v=""/>
    <s v=""/>
    <s v=""/>
  </r>
  <r>
    <s v="Brazil"/>
    <s v="Serie A"/>
    <n v="2024"/>
    <x v="28"/>
    <d v="1899-12-30T23:00:00"/>
    <x v="5"/>
    <s v="Criciuma"/>
    <n v="1"/>
    <n v="2"/>
    <x v="2"/>
    <n v="168"/>
    <n v="386"/>
    <n v="553"/>
    <n v="173"/>
    <n v="39"/>
    <n v="56"/>
    <n v="167"/>
    <n v="371"/>
    <n v="522"/>
    <s v=""/>
    <s v=""/>
    <s v=""/>
    <s v=""/>
    <s v=""/>
    <s v=""/>
  </r>
  <r>
    <s v="Brazil"/>
    <s v="Serie A"/>
    <n v="2024"/>
    <x v="28"/>
    <d v="1899-12-30T23:00:00"/>
    <x v="18"/>
    <s v="Athletico-PR"/>
    <n v="1"/>
    <n v="1"/>
    <x v="0"/>
    <n v="203"/>
    <n v="332"/>
    <n v="418"/>
    <n v="205"/>
    <n v="34"/>
    <n v="455"/>
    <n v="198"/>
    <n v="326"/>
    <n v="404"/>
    <s v=""/>
    <s v=""/>
    <s v=""/>
    <s v=""/>
    <s v=""/>
    <s v=""/>
  </r>
  <r>
    <s v="Brazil"/>
    <s v="Serie A"/>
    <n v="2024"/>
    <x v="29"/>
    <d v="1899-12-30T00:00:00"/>
    <x v="14"/>
    <s v="Gremio"/>
    <n v="1"/>
    <n v="0"/>
    <x v="1"/>
    <n v="191"/>
    <n v="344"/>
    <n v="452"/>
    <n v="197"/>
    <n v="347"/>
    <n v="452"/>
    <n v="189"/>
    <n v="339"/>
    <n v="428"/>
    <s v=""/>
    <s v=""/>
    <s v=""/>
    <s v=""/>
    <s v=""/>
    <s v=""/>
  </r>
  <r>
    <s v="Brazil"/>
    <s v="Serie A"/>
    <n v="2024"/>
    <x v="29"/>
    <d v="1899-12-30T00:00:00"/>
    <x v="15"/>
    <s v="Vasco"/>
    <n v="2"/>
    <n v="0"/>
    <x v="1"/>
    <n v="215"/>
    <n v="31"/>
    <n v="405"/>
    <n v="223"/>
    <n v="32"/>
    <n v="405"/>
    <n v="214"/>
    <n v="306"/>
    <n v="378"/>
    <s v=""/>
    <s v=""/>
    <s v=""/>
    <s v=""/>
    <s v=""/>
    <s v=""/>
  </r>
  <r>
    <s v="Brazil"/>
    <s v="Serie A"/>
    <n v="2024"/>
    <x v="29"/>
    <d v="1899-12-30T00:00:00"/>
    <x v="3"/>
    <s v="Cuiaba"/>
    <n v="0"/>
    <n v="1"/>
    <x v="2"/>
    <n v="154"/>
    <n v="391"/>
    <n v="752"/>
    <n v="16"/>
    <n v="392"/>
    <n v="834"/>
    <n v="153"/>
    <n v="377"/>
    <n v="71"/>
    <s v=""/>
    <s v=""/>
    <s v=""/>
    <s v=""/>
    <s v=""/>
    <s v=""/>
  </r>
  <r>
    <s v="Brazil"/>
    <s v="Serie A"/>
    <n v="2024"/>
    <x v="29"/>
    <d v="1899-12-30T01:30:00"/>
    <x v="8"/>
    <s v="Fluminense"/>
    <n v="2"/>
    <n v="0"/>
    <x v="1"/>
    <n v="177"/>
    <n v="37"/>
    <n v="497"/>
    <n v="179"/>
    <n v="373"/>
    <n v="51"/>
    <n v="175"/>
    <n v="357"/>
    <n v="478"/>
    <s v=""/>
    <s v=""/>
    <s v=""/>
    <s v=""/>
    <s v=""/>
    <s v=""/>
  </r>
  <r>
    <s v="Brazil"/>
    <s v="Serie A"/>
    <n v="2024"/>
    <x v="29"/>
    <d v="1899-12-30T01:30:00"/>
    <x v="1"/>
    <s v="Corinthians"/>
    <n v="1"/>
    <n v="0"/>
    <x v="1"/>
    <n v="229"/>
    <n v="314"/>
    <n v="36"/>
    <n v="229"/>
    <n v="329"/>
    <n v="373"/>
    <n v="22"/>
    <n v="309"/>
    <n v="354"/>
    <s v=""/>
    <s v=""/>
    <s v=""/>
    <s v=""/>
    <s v=""/>
    <s v=""/>
  </r>
  <r>
    <s v="Brazil"/>
    <s v="Serie A"/>
    <n v="2024"/>
    <x v="29"/>
    <d v="1899-12-30T22:30:00"/>
    <x v="9"/>
    <s v="Atletico-MG"/>
    <n v="4"/>
    <n v="2"/>
    <x v="1"/>
    <n v="3"/>
    <n v="295"/>
    <n v="277"/>
    <n v="306"/>
    <n v="3"/>
    <n v="285"/>
    <n v="291"/>
    <n v="29"/>
    <n v="27"/>
    <s v=""/>
    <s v=""/>
    <s v=""/>
    <s v=""/>
    <s v=""/>
    <s v=""/>
  </r>
  <r>
    <s v="Brazil"/>
    <s v="Serie A"/>
    <n v="2024"/>
    <x v="30"/>
    <d v="1899-12-30T00:00:00"/>
    <x v="17"/>
    <s v="Bahia"/>
    <n v="2"/>
    <n v="1"/>
    <x v="1"/>
    <n v="162"/>
    <n v="406"/>
    <n v="577"/>
    <n v="165"/>
    <n v="41"/>
    <n v="61"/>
    <n v="16"/>
    <n v="396"/>
    <n v="538"/>
    <s v=""/>
    <s v=""/>
    <s v=""/>
    <s v=""/>
    <s v=""/>
    <s v=""/>
  </r>
  <r>
    <s v="Brazil"/>
    <s v="Serie A"/>
    <n v="2024"/>
    <x v="30"/>
    <d v="1899-12-30T01:30:00"/>
    <x v="16"/>
    <s v="Bragantino"/>
    <n v="2"/>
    <n v="1"/>
    <x v="1"/>
    <n v="176"/>
    <n v="37"/>
    <n v="504"/>
    <n v="177"/>
    <n v="378"/>
    <n v="575"/>
    <n v="171"/>
    <n v="367"/>
    <n v="49"/>
    <s v=""/>
    <s v=""/>
    <s v=""/>
    <s v=""/>
    <s v=""/>
    <s v=""/>
  </r>
  <r>
    <s v="Brazil"/>
    <s v="Serie A"/>
    <n v="2024"/>
    <x v="31"/>
    <d v="1899-12-30T20:00:00"/>
    <x v="0"/>
    <s v="Botafogo RJ"/>
    <n v="2"/>
    <n v="1"/>
    <x v="1"/>
    <n v="304"/>
    <n v="331"/>
    <n v="249"/>
    <n v="311"/>
    <n v="334"/>
    <n v="25"/>
    <n v="3"/>
    <n v="321"/>
    <n v="24"/>
    <s v=""/>
    <s v=""/>
    <s v=""/>
    <s v=""/>
    <s v=""/>
    <s v=""/>
  </r>
  <r>
    <s v="Brazil"/>
    <s v="Serie A"/>
    <n v="2024"/>
    <x v="31"/>
    <d v="1899-12-30T21:30:00"/>
    <x v="12"/>
    <s v="Internacional"/>
    <n v="0"/>
    <n v="1"/>
    <x v="2"/>
    <n v="325"/>
    <n v="301"/>
    <n v="255"/>
    <n v="325"/>
    <n v="306"/>
    <n v="268"/>
    <n v="303"/>
    <n v="297"/>
    <n v="255"/>
    <s v=""/>
    <s v=""/>
    <s v=""/>
    <s v=""/>
    <s v=""/>
    <s v=""/>
  </r>
  <r>
    <s v="Brazil"/>
    <s v="Serie A"/>
    <n v="2024"/>
    <x v="31"/>
    <d v="1899-12-30T22:30:00"/>
    <x v="19"/>
    <s v="Atletico GO"/>
    <n v="0"/>
    <n v="0"/>
    <x v="0"/>
    <n v="208"/>
    <n v="32"/>
    <n v="417"/>
    <n v="214"/>
    <n v="33"/>
    <n v="417"/>
    <n v="205"/>
    <n v="315"/>
    <n v="391"/>
    <s v=""/>
    <s v=""/>
    <s v=""/>
    <s v=""/>
    <s v=""/>
    <s v=""/>
  </r>
  <r>
    <s v="Brazil"/>
    <s v="Serie A"/>
    <n v="2024"/>
    <x v="32"/>
    <d v="1899-12-30T01:30:00"/>
    <x v="7"/>
    <s v="Sao Paulo"/>
    <n v="4"/>
    <n v="1"/>
    <x v="1"/>
    <n v="34"/>
    <n v="321"/>
    <n v="234"/>
    <n v="346"/>
    <n v="325"/>
    <n v="237"/>
    <n v="333"/>
    <n v="312"/>
    <n v="228"/>
    <s v=""/>
    <s v=""/>
    <s v=""/>
    <s v=""/>
    <s v=""/>
    <s v=""/>
  </r>
  <r>
    <s v="Brazil"/>
    <s v="Serie A"/>
    <n v="2024"/>
    <x v="32"/>
    <d v="1899-12-30T20:00:00"/>
    <x v="4"/>
    <s v="Corinthians"/>
    <n v="1"/>
    <n v="1"/>
    <x v="0"/>
    <n v="165"/>
    <n v="401"/>
    <n v="556"/>
    <n v="17"/>
    <n v="404"/>
    <n v="57"/>
    <n v="164"/>
    <n v="389"/>
    <n v="52"/>
    <s v=""/>
    <s v=""/>
    <s v=""/>
    <s v=""/>
    <s v=""/>
    <s v=""/>
  </r>
  <r>
    <s v="Brazil"/>
    <s v="Serie A"/>
    <n v="2024"/>
    <x v="32"/>
    <d v="1899-12-30T20:00:00"/>
    <x v="10"/>
    <s v="Cruzeiro"/>
    <n v="4"/>
    <n v="1"/>
    <x v="1"/>
    <n v="212"/>
    <n v="335"/>
    <n v="381"/>
    <n v="212"/>
    <n v="335"/>
    <n v="396"/>
    <n v="205"/>
    <n v="326"/>
    <n v="376"/>
    <s v=""/>
    <s v=""/>
    <s v=""/>
    <s v=""/>
    <s v=""/>
    <s v=""/>
  </r>
  <r>
    <s v="Brazil"/>
    <s v="Serie A"/>
    <n v="2024"/>
    <x v="32"/>
    <d v="1899-12-30T20:00:00"/>
    <x v="2"/>
    <s v="Flamengo RJ"/>
    <n v="0"/>
    <n v="1"/>
    <x v="2"/>
    <n v="46"/>
    <n v="379"/>
    <n v="181"/>
    <n v="47"/>
    <n v="395"/>
    <n v="191"/>
    <n v="444"/>
    <n v="37"/>
    <n v="177"/>
    <s v=""/>
    <s v=""/>
    <s v=""/>
    <s v=""/>
    <s v=""/>
    <s v=""/>
  </r>
  <r>
    <s v="Brazil"/>
    <s v="Serie A"/>
    <n v="2024"/>
    <x v="32"/>
    <d v="1899-12-30T22:30:00"/>
    <x v="13"/>
    <s v="Fortaleza"/>
    <n v="1"/>
    <n v="1"/>
    <x v="0"/>
    <n v="175"/>
    <n v="361"/>
    <n v="53"/>
    <n v="181"/>
    <n v="375"/>
    <n v="53"/>
    <n v="174"/>
    <n v="351"/>
    <n v="497"/>
    <s v=""/>
    <s v=""/>
    <s v=""/>
    <s v=""/>
    <s v=""/>
    <s v=""/>
  </r>
  <r>
    <s v="Brazil"/>
    <s v="Serie A"/>
    <n v="2024"/>
    <x v="32"/>
    <d v="1899-12-30T22:30:00"/>
    <x v="11"/>
    <s v="Vitoria"/>
    <n v="2"/>
    <n v="1"/>
    <x v="1"/>
    <n v="155"/>
    <n v="416"/>
    <n v="652"/>
    <n v="155"/>
    <n v="423"/>
    <n v="692"/>
    <n v="151"/>
    <n v="404"/>
    <n v="648"/>
    <s v=""/>
    <s v=""/>
    <s v=""/>
    <s v=""/>
    <s v=""/>
    <s v=""/>
  </r>
  <r>
    <s v="Brazil"/>
    <s v="Serie A"/>
    <n v="2024"/>
    <x v="32"/>
    <d v="1899-12-30T22:30:00"/>
    <x v="16"/>
    <s v="Juventude"/>
    <n v="3"/>
    <n v="1"/>
    <x v="1"/>
    <n v="142"/>
    <n v="464"/>
    <n v="834"/>
    <n v="144"/>
    <n v="49"/>
    <n v="9"/>
    <n v="139"/>
    <n v="449"/>
    <n v="817"/>
    <s v=""/>
    <s v=""/>
    <s v=""/>
    <s v=""/>
    <s v=""/>
    <s v=""/>
  </r>
  <r>
    <s v="Brazil"/>
    <s v="Serie A"/>
    <n v="2024"/>
    <x v="33"/>
    <d v="1899-12-30T23:00:00"/>
    <x v="18"/>
    <s v="Bragantino"/>
    <n v="2"/>
    <n v="1"/>
    <x v="1"/>
    <n v="199"/>
    <n v="349"/>
    <n v="407"/>
    <n v="202"/>
    <n v="35"/>
    <n v="421"/>
    <n v="195"/>
    <n v="34"/>
    <n v="393"/>
    <s v=""/>
    <s v=""/>
    <s v=""/>
    <s v=""/>
    <s v=""/>
    <s v=""/>
  </r>
  <r>
    <s v="Brazil"/>
    <s v="Serie A"/>
    <n v="2024"/>
    <x v="33"/>
    <d v="1899-12-30T23:00:00"/>
    <x v="8"/>
    <s v="Athletico-PR"/>
    <n v="2"/>
    <n v="0"/>
    <x v="1"/>
    <n v="217"/>
    <n v="318"/>
    <n v="386"/>
    <n v="222"/>
    <n v="32"/>
    <n v="386"/>
    <n v="214"/>
    <n v="31"/>
    <n v="37"/>
    <s v=""/>
    <s v=""/>
    <s v=""/>
    <s v=""/>
    <s v=""/>
    <s v=""/>
  </r>
  <r>
    <s v="Brazil"/>
    <s v="Serie A"/>
    <n v="2024"/>
    <x v="34"/>
    <d v="1899-12-30T00:00:00"/>
    <x v="5"/>
    <s v="Gremio"/>
    <n v="1"/>
    <n v="1"/>
    <x v="0"/>
    <n v="226"/>
    <n v="318"/>
    <n v="363"/>
    <n v="229"/>
    <n v="323"/>
    <n v="367"/>
    <n v="219"/>
    <n v="315"/>
    <n v="348"/>
    <s v=""/>
    <s v=""/>
    <s v=""/>
    <s v=""/>
    <s v=""/>
    <s v=""/>
  </r>
  <r>
    <s v="Brazil"/>
    <s v="Serie A"/>
    <n v="2024"/>
    <x v="34"/>
    <d v="1899-12-30T00:00:00"/>
    <x v="6"/>
    <s v="Cuiaba"/>
    <n v="1"/>
    <n v="1"/>
    <x v="0"/>
    <n v="205"/>
    <n v="329"/>
    <n v="414"/>
    <n v="206"/>
    <n v="329"/>
    <n v="44"/>
    <n v="2"/>
    <n v="319"/>
    <n v="408"/>
    <s v=""/>
    <s v=""/>
    <s v=""/>
    <s v=""/>
    <s v=""/>
    <s v=""/>
  </r>
  <r>
    <s v="Brazil"/>
    <s v="Serie A"/>
    <n v="2024"/>
    <x v="34"/>
    <d v="1899-12-30T00:00:00"/>
    <x v="15"/>
    <s v="Flamengo RJ"/>
    <n v="2"/>
    <n v="1"/>
    <x v="1"/>
    <n v="49"/>
    <n v="343"/>
    <n v="185"/>
    <n v="5"/>
    <n v="343"/>
    <n v="196"/>
    <n v="455"/>
    <n v="331"/>
    <n v="186"/>
    <s v=""/>
    <s v=""/>
    <s v=""/>
    <s v=""/>
    <s v=""/>
    <s v=""/>
  </r>
  <r>
    <s v="Brazil"/>
    <s v="Serie A"/>
    <n v="2024"/>
    <x v="34"/>
    <d v="1899-12-30T01:30:00"/>
    <x v="10"/>
    <s v="Vasco"/>
    <n v="2"/>
    <n v="1"/>
    <x v="1"/>
    <n v="161"/>
    <n v="407"/>
    <n v="586"/>
    <n v="163"/>
    <n v="41"/>
    <n v="59"/>
    <n v="159"/>
    <n v="393"/>
    <n v="559"/>
    <s v=""/>
    <s v=""/>
    <s v=""/>
    <s v=""/>
    <s v=""/>
    <s v=""/>
  </r>
  <r>
    <s v="Brazil"/>
    <s v="Serie A"/>
    <n v="2024"/>
    <x v="34"/>
    <d v="1899-12-30T01:30:00"/>
    <x v="14"/>
    <s v="Palmeiras"/>
    <n v="3"/>
    <n v="0"/>
    <x v="1"/>
    <n v="319"/>
    <n v="318"/>
    <n v="245"/>
    <n v="325"/>
    <n v="32"/>
    <n v="246"/>
    <n v="31"/>
    <n v="309"/>
    <n v="241"/>
    <s v=""/>
    <s v=""/>
    <s v=""/>
    <s v=""/>
    <s v=""/>
    <s v=""/>
  </r>
  <r>
    <s v="Brazil"/>
    <s v="Serie A"/>
    <n v="2024"/>
    <x v="34"/>
    <d v="1899-12-30T01:30:00"/>
    <x v="1"/>
    <s v="Atletico-MG"/>
    <n v="1"/>
    <n v="2"/>
    <x v="2"/>
    <n v="208"/>
    <n v="303"/>
    <n v="39"/>
    <n v="225"/>
    <n v="326"/>
    <n v="42"/>
    <n v="213"/>
    <n v="305"/>
    <n v="38"/>
    <s v=""/>
    <s v=""/>
    <s v=""/>
    <s v=""/>
    <s v=""/>
    <s v=""/>
  </r>
  <r>
    <s v="Brazil"/>
    <s v="Serie A"/>
    <n v="2024"/>
    <x v="34"/>
    <d v="1899-12-30T23:00:00"/>
    <x v="2"/>
    <s v="Vitoria"/>
    <n v="0"/>
    <n v="1"/>
    <x v="2"/>
    <n v="188"/>
    <n v="359"/>
    <n v="444"/>
    <n v="192"/>
    <n v="365"/>
    <n v="472"/>
    <n v="186"/>
    <n v="347"/>
    <n v="426"/>
    <s v=""/>
    <s v=""/>
    <s v=""/>
    <s v=""/>
    <s v=""/>
    <s v=""/>
  </r>
  <r>
    <s v="Brazil"/>
    <s v="Serie A"/>
    <n v="2024"/>
    <x v="35"/>
    <d v="1899-12-30T00:00:00"/>
    <x v="3"/>
    <s v="Criciuma"/>
    <n v="2"/>
    <n v="1"/>
    <x v="1"/>
    <n v="156"/>
    <n v="417"/>
    <n v="638"/>
    <n v="159"/>
    <n v="42"/>
    <n v="66"/>
    <n v="153"/>
    <n v="405"/>
    <n v="614"/>
    <s v=""/>
    <s v=""/>
    <s v=""/>
    <s v=""/>
    <s v=""/>
    <s v=""/>
  </r>
  <r>
    <s v="Brazil"/>
    <s v="Serie A"/>
    <n v="2024"/>
    <x v="36"/>
    <d v="1899-12-30T22:30:00"/>
    <x v="19"/>
    <s v="Bragantino"/>
    <n v="1"/>
    <n v="1"/>
    <x v="0"/>
    <n v="28"/>
    <n v="311"/>
    <n v="283"/>
    <n v="282"/>
    <n v="314"/>
    <n v="288"/>
    <n v="269"/>
    <n v="305"/>
    <n v="277"/>
    <s v=""/>
    <s v=""/>
    <s v=""/>
    <s v=""/>
    <s v=""/>
    <s v=""/>
  </r>
  <r>
    <s v="Brazil"/>
    <s v="Serie A"/>
    <n v="2024"/>
    <x v="36"/>
    <d v="1899-12-30T22:30:00"/>
    <x v="7"/>
    <s v="Botafogo RJ"/>
    <n v="1"/>
    <n v="1"/>
    <x v="0"/>
    <n v="308"/>
    <n v="308"/>
    <n v="26"/>
    <n v="317"/>
    <n v="325"/>
    <n v="26"/>
    <n v="301"/>
    <n v="309"/>
    <n v="247"/>
    <s v=""/>
    <s v=""/>
    <s v=""/>
    <s v=""/>
    <s v=""/>
    <s v=""/>
  </r>
  <r>
    <s v="Brazil"/>
    <s v="Serie A"/>
    <n v="2024"/>
    <x v="37"/>
    <d v="1899-12-30T15:00:00"/>
    <x v="13"/>
    <s v="Atletico GO"/>
    <n v="1"/>
    <n v="1"/>
    <x v="0"/>
    <n v="209"/>
    <n v="344"/>
    <n v="387"/>
    <n v="21"/>
    <n v="362"/>
    <n v="396"/>
    <n v="201"/>
    <n v="338"/>
    <n v="373"/>
    <s v=""/>
    <s v=""/>
    <s v=""/>
    <s v=""/>
    <s v=""/>
    <s v=""/>
  </r>
  <r>
    <s v="Brazil"/>
    <s v="Serie A"/>
    <n v="2024"/>
    <x v="37"/>
    <d v="1899-12-30T20:00:00"/>
    <x v="14"/>
    <s v="Juventude"/>
    <n v="2"/>
    <n v="1"/>
    <x v="1"/>
    <n v="166"/>
    <n v="369"/>
    <n v="613"/>
    <n v="167"/>
    <n v="392"/>
    <n v="623"/>
    <n v="163"/>
    <n v="366"/>
    <n v="578"/>
    <s v=""/>
    <s v=""/>
    <s v=""/>
    <s v=""/>
    <s v=""/>
    <s v=""/>
  </r>
  <r>
    <s v="Brazil"/>
    <s v="Serie A"/>
    <n v="2024"/>
    <x v="37"/>
    <d v="1899-12-30T20:00:00"/>
    <x v="12"/>
    <s v="Fluminense"/>
    <n v="1"/>
    <n v="0"/>
    <x v="1"/>
    <n v="193"/>
    <n v="34"/>
    <n v="449"/>
    <n v="2"/>
    <n v="345"/>
    <n v="472"/>
    <n v="191"/>
    <n v="333"/>
    <n v="426"/>
    <s v=""/>
    <s v=""/>
    <s v=""/>
    <s v=""/>
    <s v=""/>
    <s v=""/>
  </r>
  <r>
    <s v="Brazil"/>
    <s v="Serie A"/>
    <n v="2024"/>
    <x v="37"/>
    <d v="1899-12-30T20:00:00"/>
    <x v="3"/>
    <s v="Bahia"/>
    <n v="3"/>
    <n v="1"/>
    <x v="1"/>
    <n v="196"/>
    <n v="351"/>
    <n v="418"/>
    <n v="201"/>
    <n v="354"/>
    <n v="42"/>
    <n v="196"/>
    <n v="336"/>
    <n v="396"/>
    <s v=""/>
    <s v=""/>
    <s v=""/>
    <s v=""/>
    <s v=""/>
    <s v=""/>
  </r>
  <r>
    <s v="Brazil"/>
    <s v="Serie A"/>
    <n v="2024"/>
    <x v="37"/>
    <d v="1899-12-30T22:30:00"/>
    <x v="0"/>
    <s v="Internacional"/>
    <n v="1"/>
    <n v="1"/>
    <x v="0"/>
    <n v="288"/>
    <n v="298"/>
    <n v="286"/>
    <n v="288"/>
    <n v="309"/>
    <n v="286"/>
    <n v="279"/>
    <n v="296"/>
    <n v="274"/>
    <s v=""/>
    <s v=""/>
    <s v=""/>
    <s v=""/>
    <s v=""/>
    <s v=""/>
  </r>
  <r>
    <s v="Brazil"/>
    <s v="Serie A"/>
    <n v="2024"/>
    <x v="37"/>
    <d v="1899-12-30T22:30:00"/>
    <x v="17"/>
    <s v="Cruzeiro"/>
    <n v="2"/>
    <n v="1"/>
    <x v="1"/>
    <n v="166"/>
    <n v="393"/>
    <n v="556"/>
    <n v="17"/>
    <n v="413"/>
    <n v="572"/>
    <n v="164"/>
    <n v="389"/>
    <n v="528"/>
    <s v=""/>
    <s v=""/>
    <s v=""/>
    <s v=""/>
    <s v=""/>
    <s v=""/>
  </r>
  <r>
    <s v="Brazil"/>
    <s v="Serie A"/>
    <n v="2024"/>
    <x v="37"/>
    <d v="1899-12-30T22:30:00"/>
    <x v="9"/>
    <s v="Athletico-PR"/>
    <n v="0"/>
    <n v="1"/>
    <x v="2"/>
    <n v="231"/>
    <n v="334"/>
    <n v="332"/>
    <n v="238"/>
    <n v="334"/>
    <n v="35"/>
    <n v="229"/>
    <n v="316"/>
    <n v="325"/>
    <s v=""/>
    <s v=""/>
    <s v=""/>
    <s v=""/>
    <s v=""/>
    <s v=""/>
  </r>
  <r>
    <s v="Brazil"/>
    <s v="Serie A"/>
    <n v="2024"/>
    <x v="38"/>
    <d v="1899-12-30T00:00:00"/>
    <x v="16"/>
    <s v="Corinthians"/>
    <n v="2"/>
    <n v="0"/>
    <x v="1"/>
    <n v="16"/>
    <n v="412"/>
    <n v="589"/>
    <n v="165"/>
    <n v="42"/>
    <n v="613"/>
    <n v="158"/>
    <n v="402"/>
    <n v="559"/>
    <s v=""/>
    <s v=""/>
    <s v=""/>
    <s v=""/>
    <s v=""/>
    <s v=""/>
  </r>
  <r>
    <s v="Brazil"/>
    <s v="Serie A"/>
    <n v="2024"/>
    <x v="39"/>
    <d v="1899-12-30T23:00:00"/>
    <x v="19"/>
    <s v="Botafogo RJ"/>
    <n v="1"/>
    <n v="2"/>
    <x v="2"/>
    <n v="261"/>
    <n v="301"/>
    <n v="315"/>
    <n v="27"/>
    <n v="313"/>
    <n v="321"/>
    <n v="254"/>
    <n v="299"/>
    <n v="303"/>
    <s v=""/>
    <s v=""/>
    <s v=""/>
    <s v=""/>
    <s v=""/>
    <s v=""/>
  </r>
  <r>
    <s v="Brazil"/>
    <s v="Serie A"/>
    <n v="2024"/>
    <x v="40"/>
    <d v="1899-12-30T00:00:00"/>
    <x v="0"/>
    <s v="Cruzeiro"/>
    <n v="1"/>
    <n v="0"/>
    <x v="1"/>
    <n v="248"/>
    <n v="302"/>
    <n v="333"/>
    <n v="261"/>
    <n v="315"/>
    <n v="333"/>
    <n v="247"/>
    <n v="298"/>
    <n v="311"/>
    <s v=""/>
    <s v=""/>
    <s v=""/>
    <s v=""/>
    <s v=""/>
    <s v=""/>
  </r>
  <r>
    <s v="Brazil"/>
    <s v="Serie A"/>
    <n v="2024"/>
    <x v="40"/>
    <d v="1899-12-30T00:00:00"/>
    <x v="7"/>
    <s v="Fortaleza"/>
    <n v="2"/>
    <n v="0"/>
    <x v="1"/>
    <n v="236"/>
    <n v="321"/>
    <n v="337"/>
    <n v="236"/>
    <n v="33"/>
    <n v="343"/>
    <n v="227"/>
    <n v="319"/>
    <n v="325"/>
    <s v=""/>
    <s v=""/>
    <s v=""/>
    <s v=""/>
    <s v=""/>
    <s v=""/>
  </r>
  <r>
    <s v="Brazil"/>
    <s v="Serie A"/>
    <n v="2024"/>
    <x v="40"/>
    <d v="1899-12-30T01:30:00"/>
    <x v="4"/>
    <s v="Sao Paulo"/>
    <n v="1"/>
    <n v="2"/>
    <x v="2"/>
    <n v="237"/>
    <n v="315"/>
    <n v="34"/>
    <n v="241"/>
    <n v="32"/>
    <n v="345"/>
    <n v="232"/>
    <n v="31"/>
    <n v="326"/>
    <s v=""/>
    <s v=""/>
    <s v=""/>
    <s v=""/>
    <s v=""/>
    <s v=""/>
  </r>
  <r>
    <s v="Brazil"/>
    <s v="Serie A"/>
    <n v="2024"/>
    <x v="40"/>
    <d v="1899-12-30T01:30:00"/>
    <x v="13"/>
    <s v="Flamengo RJ"/>
    <n v="2"/>
    <n v="4"/>
    <x v="2"/>
    <n v="282"/>
    <n v="311"/>
    <n v="281"/>
    <n v="285"/>
    <n v="321"/>
    <n v="281"/>
    <n v="274"/>
    <n v="308"/>
    <n v="269"/>
    <s v=""/>
    <s v=""/>
    <s v=""/>
    <s v=""/>
    <s v=""/>
    <s v=""/>
  </r>
  <r>
    <s v="Brazil"/>
    <s v="Serie A"/>
    <n v="2024"/>
    <x v="40"/>
    <d v="1899-12-30T01:30:00"/>
    <x v="11"/>
    <s v="Atletico GO"/>
    <n v="3"/>
    <n v="1"/>
    <x v="1"/>
    <n v="187"/>
    <n v="344"/>
    <n v="478"/>
    <n v="189"/>
    <n v="375"/>
    <n v="48"/>
    <n v="182"/>
    <n v="342"/>
    <n v="452"/>
    <s v=""/>
    <s v=""/>
    <s v=""/>
    <s v=""/>
    <s v=""/>
    <s v=""/>
  </r>
  <r>
    <s v="Brazil"/>
    <s v="Serie A"/>
    <n v="2024"/>
    <x v="40"/>
    <d v="1899-12-30T23:00:00"/>
    <x v="10"/>
    <s v="Juventude"/>
    <n v="2"/>
    <n v="0"/>
    <x v="1"/>
    <n v="152"/>
    <n v="432"/>
    <n v="669"/>
    <n v="155"/>
    <n v="44"/>
    <n v="669"/>
    <n v="151"/>
    <n v="422"/>
    <n v="618"/>
    <s v=""/>
    <s v=""/>
    <s v=""/>
    <s v=""/>
    <s v=""/>
    <s v=""/>
  </r>
  <r>
    <s v="Brazil"/>
    <s v="Serie A"/>
    <n v="2024"/>
    <x v="40"/>
    <d v="1899-12-30T23:00:00"/>
    <x v="12"/>
    <s v="Palmeiras"/>
    <n v="2"/>
    <n v="2"/>
    <x v="0"/>
    <n v="308"/>
    <n v="329"/>
    <n v="247"/>
    <n v="326"/>
    <n v="33"/>
    <n v="248"/>
    <n v="31"/>
    <n v="32"/>
    <n v="235"/>
    <s v=""/>
    <s v=""/>
    <s v=""/>
    <s v=""/>
    <s v=""/>
    <s v=""/>
  </r>
  <r>
    <s v="Brazil"/>
    <s v="Serie A"/>
    <n v="2024"/>
    <x v="41"/>
    <d v="1899-12-30T00:00:00"/>
    <x v="6"/>
    <s v="Vitoria"/>
    <n v="3"/>
    <n v="2"/>
    <x v="1"/>
    <n v="183"/>
    <n v="338"/>
    <n v="513"/>
    <n v="196"/>
    <n v="345"/>
    <n v="55"/>
    <n v="183"/>
    <n v="33"/>
    <n v="474"/>
    <s v=""/>
    <s v=""/>
    <s v=""/>
    <s v=""/>
    <s v=""/>
    <s v=""/>
  </r>
  <r>
    <s v="Brazil"/>
    <s v="Serie A"/>
    <n v="2024"/>
    <x v="41"/>
    <d v="1899-12-30T00:00:00"/>
    <x v="2"/>
    <s v="Internacional"/>
    <n v="1"/>
    <n v="1"/>
    <x v="0"/>
    <n v="28"/>
    <n v="307"/>
    <n v="285"/>
    <n v="284"/>
    <n v="316"/>
    <n v="285"/>
    <n v="272"/>
    <n v="3"/>
    <n v="277"/>
    <s v=""/>
    <s v=""/>
    <s v=""/>
    <s v=""/>
    <s v=""/>
    <s v=""/>
  </r>
  <r>
    <s v="Brazil"/>
    <s v="Serie A"/>
    <n v="2024"/>
    <x v="42"/>
    <d v="1899-12-30T00:00:00"/>
    <x v="17"/>
    <s v="Cuiaba"/>
    <n v="1"/>
    <n v="1"/>
    <x v="0"/>
    <n v="142"/>
    <n v="453"/>
    <n v="873"/>
    <n v="146"/>
    <n v="461"/>
    <n v="9"/>
    <n v="141"/>
    <n v="429"/>
    <n v="812"/>
    <s v=""/>
    <s v=""/>
    <s v=""/>
    <s v=""/>
    <s v=""/>
    <s v=""/>
  </r>
  <r>
    <s v="Brazil"/>
    <s v="Serie A"/>
    <n v="2024"/>
    <x v="42"/>
    <d v="1899-12-30T00:00:00"/>
    <x v="3"/>
    <s v="Bragantino"/>
    <n v="2"/>
    <n v="0"/>
    <x v="1"/>
    <n v="202"/>
    <n v="332"/>
    <n v="421"/>
    <n v="202"/>
    <n v="345"/>
    <n v="44"/>
    <n v="195"/>
    <n v="327"/>
    <n v="408"/>
    <s v=""/>
    <s v=""/>
    <s v=""/>
    <s v=""/>
    <s v=""/>
    <s v=""/>
  </r>
  <r>
    <s v="Brazil"/>
    <s v="Serie A"/>
    <n v="2024"/>
    <x v="42"/>
    <d v="1899-12-30T20:00:00"/>
    <x v="8"/>
    <s v="Corinthians"/>
    <n v="3"/>
    <n v="0"/>
    <x v="1"/>
    <n v="184"/>
    <n v="358"/>
    <n v="471"/>
    <n v="184"/>
    <n v="381"/>
    <n v="515"/>
    <n v="179"/>
    <n v="354"/>
    <n v="453"/>
    <s v=""/>
    <s v=""/>
    <s v=""/>
    <s v=""/>
    <s v=""/>
    <s v=""/>
  </r>
  <r>
    <s v="Brazil"/>
    <s v="Serie A"/>
    <n v="2024"/>
    <x v="42"/>
    <d v="1899-12-30T20:00:00"/>
    <x v="14"/>
    <s v="Fluminense"/>
    <n v="1"/>
    <n v="0"/>
    <x v="1"/>
    <n v="173"/>
    <n v="363"/>
    <n v="544"/>
    <n v="177"/>
    <n v="367"/>
    <n v="544"/>
    <n v="172"/>
    <n v="355"/>
    <n v="505"/>
    <s v=""/>
    <s v=""/>
    <s v=""/>
    <s v=""/>
    <s v=""/>
    <s v=""/>
  </r>
  <r>
    <s v="Brazil"/>
    <s v="Serie A"/>
    <n v="2024"/>
    <x v="42"/>
    <d v="1899-12-30T20:00:00"/>
    <x v="15"/>
    <s v="Gremio"/>
    <n v="3"/>
    <n v="0"/>
    <x v="1"/>
    <n v="272"/>
    <n v="313"/>
    <n v="289"/>
    <n v="273"/>
    <n v="331"/>
    <n v="293"/>
    <n v="259"/>
    <n v="314"/>
    <n v="281"/>
    <s v=""/>
    <s v=""/>
    <s v=""/>
    <s v=""/>
    <s v=""/>
    <s v=""/>
  </r>
  <r>
    <s v="Brazil"/>
    <s v="Serie A"/>
    <n v="2024"/>
    <x v="42"/>
    <d v="1899-12-30T22:00:00"/>
    <x v="1"/>
    <s v="Vasco"/>
    <n v="1"/>
    <n v="2"/>
    <x v="2"/>
    <n v="169"/>
    <n v="365"/>
    <n v="586"/>
    <n v="174"/>
    <n v="38"/>
    <n v="65"/>
    <n v="167"/>
    <n v="357"/>
    <n v="554"/>
    <s v=""/>
    <s v=""/>
    <s v=""/>
    <s v=""/>
    <s v=""/>
    <s v=""/>
  </r>
  <r>
    <s v="Brazil"/>
    <s v="Serie A"/>
    <n v="2024"/>
    <x v="42"/>
    <d v="1899-12-30T22:30:00"/>
    <x v="5"/>
    <s v="Athletico-PR"/>
    <n v="1"/>
    <n v="2"/>
    <x v="2"/>
    <n v="196"/>
    <n v="344"/>
    <n v="426"/>
    <n v="201"/>
    <n v="35"/>
    <n v="445"/>
    <n v="194"/>
    <n v="336"/>
    <n v="402"/>
    <s v=""/>
    <s v=""/>
    <s v=""/>
    <s v=""/>
    <s v=""/>
    <s v=""/>
  </r>
  <r>
    <s v="Brazil"/>
    <s v="Serie A"/>
    <n v="2024"/>
    <x v="42"/>
    <d v="1899-12-30T22:30:00"/>
    <x v="16"/>
    <s v="Bahia"/>
    <n v="2"/>
    <n v="0"/>
    <x v="1"/>
    <n v="167"/>
    <n v="422"/>
    <n v="494"/>
    <n v="169"/>
    <n v="43"/>
    <n v="5"/>
    <n v="166"/>
    <n v="407"/>
    <n v="472"/>
    <s v=""/>
    <s v=""/>
    <s v=""/>
    <s v=""/>
    <s v=""/>
    <s v=""/>
  </r>
  <r>
    <s v="Brazil"/>
    <s v="Serie A"/>
    <n v="2024"/>
    <x v="42"/>
    <d v="1899-12-30T22:30:00"/>
    <x v="9"/>
    <s v="Criciuma"/>
    <n v="2"/>
    <n v="1"/>
    <x v="1"/>
    <n v="224"/>
    <n v="321"/>
    <n v="364"/>
    <n v="228"/>
    <n v="325"/>
    <n v="378"/>
    <n v="217"/>
    <n v="315"/>
    <n v="355"/>
    <s v=""/>
    <s v=""/>
    <s v=""/>
    <s v=""/>
    <s v=""/>
    <s v=""/>
  </r>
  <r>
    <s v="Brazil"/>
    <s v="Serie A"/>
    <n v="2024"/>
    <x v="43"/>
    <d v="1899-12-30T00:30:00"/>
    <x v="18"/>
    <s v="Atletico-MG"/>
    <n v="3"/>
    <n v="0"/>
    <x v="1"/>
    <n v="2"/>
    <n v="345"/>
    <n v="409"/>
    <n v="205"/>
    <n v="364"/>
    <n v="41"/>
    <n v="196"/>
    <n v="34"/>
    <n v="388"/>
    <s v=""/>
    <s v=""/>
    <s v=""/>
    <s v=""/>
    <s v=""/>
    <s v=""/>
  </r>
  <r>
    <s v="Brazil"/>
    <s v="Serie A"/>
    <n v="2024"/>
    <x v="44"/>
    <d v="1899-12-30T22:30:00"/>
    <x v="12"/>
    <s v="Cruzeiro"/>
    <n v="0"/>
    <n v="2"/>
    <x v="2"/>
    <n v="259"/>
    <n v="324"/>
    <n v="297"/>
    <n v="26"/>
    <n v="338"/>
    <n v="3"/>
    <n v="252"/>
    <n v="318"/>
    <n v="288"/>
    <s v="2.66"/>
    <s v="3.3"/>
    <s v="3.1"/>
    <s v=""/>
    <s v=""/>
    <s v=""/>
  </r>
  <r>
    <s v="Brazil"/>
    <s v="Serie A"/>
    <n v="2024"/>
    <x v="44"/>
    <d v="1899-12-30T23:00:00"/>
    <x v="4"/>
    <s v="Bahia"/>
    <n v="1"/>
    <n v="3"/>
    <x v="2"/>
    <n v="235"/>
    <n v="337"/>
    <n v="322"/>
    <n v="24"/>
    <n v="345"/>
    <n v="33"/>
    <n v="229"/>
    <n v="331"/>
    <n v="316"/>
    <s v="2.38"/>
    <s v="3.45"/>
    <s v="3.4"/>
    <s v=""/>
    <s v=""/>
    <s v=""/>
  </r>
  <r>
    <s v="Brazil"/>
    <s v="Serie A"/>
    <n v="2024"/>
    <x v="44"/>
    <d v="1899-12-30T23:00:00"/>
    <x v="7"/>
    <s v="Corinthians"/>
    <n v="2"/>
    <n v="0"/>
    <x v="1"/>
    <n v="223"/>
    <n v="321"/>
    <n v="366"/>
    <n v="242"/>
    <n v="325"/>
    <n v="366"/>
    <n v="228"/>
    <n v="313"/>
    <n v="335"/>
    <s v="2.38"/>
    <s v="3.25"/>
    <s v="3.55"/>
    <s v=""/>
    <s v=""/>
    <s v=""/>
  </r>
  <r>
    <s v="Brazil"/>
    <s v="Serie A"/>
    <n v="2024"/>
    <x v="45"/>
    <d v="1899-12-30T23:30:00"/>
    <x v="16"/>
    <s v="Atletico GO"/>
    <n v="3"/>
    <n v="1"/>
    <x v="1"/>
    <n v="138"/>
    <n v="491"/>
    <n v="924"/>
    <n v="141"/>
    <n v="495"/>
    <n v="10"/>
    <n v="137"/>
    <n v="477"/>
    <n v="859"/>
    <s v="1.38"/>
    <s v="5.1"/>
    <s v="11.5"/>
    <s v=""/>
    <s v=""/>
    <s v=""/>
  </r>
  <r>
    <s v="Brazil"/>
    <s v="Serie A"/>
    <n v="2024"/>
    <x v="46"/>
    <d v="1899-12-30T00:00:00"/>
    <x v="0"/>
    <s v="Fluminense"/>
    <n v="1"/>
    <n v="1"/>
    <x v="0"/>
    <n v="203"/>
    <n v="339"/>
    <n v="406"/>
    <n v="208"/>
    <n v="341"/>
    <n v="44"/>
    <n v="2"/>
    <n v="328"/>
    <n v="398"/>
    <s v="2.12"/>
    <s v="3.4"/>
    <s v="4.2"/>
    <s v=""/>
    <s v=""/>
    <s v=""/>
  </r>
  <r>
    <s v="Brazil"/>
    <s v="Serie A"/>
    <n v="2024"/>
    <x v="46"/>
    <d v="1899-12-30T00:00:00"/>
    <x v="17"/>
    <s v="Fortaleza"/>
    <n v="1"/>
    <n v="2"/>
    <x v="2"/>
    <n v="161"/>
    <n v="384"/>
    <n v="635"/>
    <n v="165"/>
    <n v="4"/>
    <n v="635"/>
    <n v="16"/>
    <n v="38"/>
    <n v="589"/>
    <s v="1.64"/>
    <s v="4"/>
    <s v="6.8"/>
    <s v=""/>
    <s v=""/>
    <s v=""/>
  </r>
  <r>
    <s v="Brazil"/>
    <s v="Serie A"/>
    <n v="2024"/>
    <x v="46"/>
    <d v="1899-12-30T01:30:00"/>
    <x v="13"/>
    <s v="Sao Paulo"/>
    <n v="2"/>
    <n v="1"/>
    <x v="1"/>
    <n v="252"/>
    <n v="313"/>
    <n v="315"/>
    <n v="26"/>
    <n v="32"/>
    <n v="317"/>
    <n v="248"/>
    <n v="307"/>
    <n v="306"/>
    <s v="2.56"/>
    <s v="3.2"/>
    <s v="3.3"/>
    <s v=""/>
    <s v=""/>
    <s v=""/>
  </r>
  <r>
    <s v="Brazil"/>
    <s v="Serie A"/>
    <n v="2024"/>
    <x v="46"/>
    <d v="1899-12-30T01:30:00"/>
    <x v="9"/>
    <s v="Botafogo RJ"/>
    <n v="0"/>
    <n v="1"/>
    <x v="2"/>
    <n v="313"/>
    <n v="309"/>
    <n v="256"/>
    <n v="335"/>
    <n v="309"/>
    <n v="262"/>
    <n v="309"/>
    <n v="3"/>
    <n v="251"/>
    <s v="3.2"/>
    <s v="3.15"/>
    <s v="2.66"/>
    <s v=""/>
    <s v=""/>
    <s v=""/>
  </r>
  <r>
    <s v="Brazil"/>
    <s v="Serie A"/>
    <n v="2024"/>
    <x v="47"/>
    <d v="1899-12-30T20:00:00"/>
    <x v="10"/>
    <s v="Cuiaba"/>
    <n v="1"/>
    <n v="2"/>
    <x v="2"/>
    <n v="167"/>
    <n v="365"/>
    <n v="612"/>
    <n v="171"/>
    <n v="372"/>
    <n v="623"/>
    <n v="165"/>
    <n v="359"/>
    <n v="571"/>
    <s v="1.67"/>
    <s v="3.9"/>
    <s v="6.8"/>
    <s v=""/>
    <s v=""/>
    <s v=""/>
  </r>
  <r>
    <s v="Brazil"/>
    <s v="Serie A"/>
    <n v="2024"/>
    <x v="47"/>
    <d v="1899-12-30T20:00:00"/>
    <x v="8"/>
    <s v="Bragantino"/>
    <n v="2"/>
    <n v="1"/>
    <x v="1"/>
    <n v="214"/>
    <n v="336"/>
    <n v="372"/>
    <n v="22"/>
    <n v="34"/>
    <n v="39"/>
    <n v="208"/>
    <n v="332"/>
    <n v="362"/>
    <s v="2.16"/>
    <s v="3.45"/>
    <s v="4"/>
    <s v=""/>
    <s v=""/>
    <s v=""/>
  </r>
  <r>
    <s v="Brazil"/>
    <s v="Serie A"/>
    <n v="2024"/>
    <x v="48"/>
    <d v="1899-12-30T23:00:00"/>
    <x v="15"/>
    <s v="Atletico-MG"/>
    <n v="1"/>
    <n v="1"/>
    <x v="0"/>
    <n v="416"/>
    <n v="361"/>
    <n v="193"/>
    <n v="416"/>
    <n v="361"/>
    <n v="21"/>
    <n v="398"/>
    <n v="348"/>
    <n v="193"/>
    <s v="4.3"/>
    <s v="3.7"/>
    <s v="1.98"/>
    <s v=""/>
    <s v=""/>
    <s v=""/>
  </r>
  <r>
    <s v="Brazil"/>
    <s v="Serie A"/>
    <n v="2024"/>
    <x v="49"/>
    <d v="1899-12-30T01:00:00"/>
    <x v="6"/>
    <s v="Criciuma"/>
    <n v="2"/>
    <n v="1"/>
    <x v="1"/>
    <n v="179"/>
    <n v="36"/>
    <n v="502"/>
    <n v="181"/>
    <n v="368"/>
    <n v="502"/>
    <n v="178"/>
    <n v="354"/>
    <n v="468"/>
    <s v="1.82"/>
    <s v="3.8"/>
    <s v="5.3"/>
    <s v=""/>
    <s v=""/>
    <s v=""/>
  </r>
  <r>
    <s v="Brazil"/>
    <s v="Serie A"/>
    <n v="2024"/>
    <x v="49"/>
    <d v="1899-12-30T23:00:00"/>
    <x v="5"/>
    <s v="Vasco"/>
    <n v="0"/>
    <n v="1"/>
    <x v="2"/>
    <n v="227"/>
    <n v="326"/>
    <n v="35"/>
    <n v="23"/>
    <n v="338"/>
    <n v="355"/>
    <n v="222"/>
    <n v="32"/>
    <n v="338"/>
    <s v="2.34"/>
    <s v="3.35"/>
    <s v="3.6"/>
    <s v=""/>
    <s v=""/>
    <s v=""/>
  </r>
  <r>
    <s v="Brazil"/>
    <s v="Serie A"/>
    <n v="2024"/>
    <x v="50"/>
    <d v="1899-12-30T00:00:00"/>
    <x v="3"/>
    <s v="Gremio"/>
    <n v="1"/>
    <n v="0"/>
    <x v="1"/>
    <n v="157"/>
    <n v="384"/>
    <n v="708"/>
    <n v="16"/>
    <n v="39"/>
    <n v="708"/>
    <n v="156"/>
    <n v="378"/>
    <n v="654"/>
    <s v="1.59"/>
    <s v="4.1"/>
    <s v="7.6"/>
    <s v=""/>
    <s v=""/>
    <s v=""/>
  </r>
  <r>
    <s v="Brazil"/>
    <s v="Serie A"/>
    <n v="2024"/>
    <x v="50"/>
    <d v="1899-12-30T01:30:00"/>
    <x v="18"/>
    <s v="Palmeiras"/>
    <n v="1"/>
    <n v="0"/>
    <x v="1"/>
    <n v="291"/>
    <n v="328"/>
    <n v="26"/>
    <n v="291"/>
    <n v="333"/>
    <n v="265"/>
    <n v="279"/>
    <n v="323"/>
    <n v="256"/>
    <s v="3.05"/>
    <s v="3.35"/>
    <s v="2.64"/>
    <s v=""/>
    <s v=""/>
    <s v=""/>
  </r>
  <r>
    <s v="Brazil"/>
    <s v="Serie A"/>
    <n v="2024"/>
    <x v="50"/>
    <d v="1899-12-30T01:30:00"/>
    <x v="14"/>
    <s v="Vitoria"/>
    <n v="3"/>
    <n v="1"/>
    <x v="1"/>
    <n v="166"/>
    <n v="377"/>
    <n v="592"/>
    <n v="168"/>
    <n v="39"/>
    <n v="62"/>
    <n v="162"/>
    <n v="375"/>
    <n v="566"/>
    <s v="1.69"/>
    <s v="3.9"/>
    <s v="6.4"/>
    <s v=""/>
    <s v=""/>
    <s v=""/>
  </r>
  <r>
    <s v="Brazil"/>
    <s v="Serie A"/>
    <n v="2024"/>
    <x v="51"/>
    <d v="1899-12-30T20:00:00"/>
    <x v="17"/>
    <s v="Criciuma"/>
    <n v="2"/>
    <n v="1"/>
    <x v="1"/>
    <n v="142"/>
    <n v="462"/>
    <n v="839"/>
    <n v="142"/>
    <n v="481"/>
    <n v="839"/>
    <n v="14"/>
    <n v="458"/>
    <n v="79"/>
    <s v="1.43"/>
    <s v="5"/>
    <s v="9.2"/>
    <s v=""/>
    <s v=""/>
    <s v=""/>
  </r>
  <r>
    <s v="Brazil"/>
    <s v="Serie A"/>
    <n v="2024"/>
    <x v="51"/>
    <d v="1899-12-30T22:30:00"/>
    <x v="18"/>
    <s v="Internacional"/>
    <n v="1"/>
    <n v="0"/>
    <x v="1"/>
    <n v="194"/>
    <n v="329"/>
    <n v="46"/>
    <n v="2"/>
    <n v="337"/>
    <n v="495"/>
    <n v="191"/>
    <n v="326"/>
    <n v="443"/>
    <s v="1.96"/>
    <s v="3.35"/>
    <s v="5.1"/>
    <s v=""/>
    <s v=""/>
    <s v=""/>
  </r>
  <r>
    <s v="Brazil"/>
    <s v="Serie A"/>
    <n v="2024"/>
    <x v="52"/>
    <d v="1899-12-30T01:00:00"/>
    <x v="16"/>
    <s v="Cruzeiro"/>
    <n v="2"/>
    <n v="0"/>
    <x v="1"/>
    <n v="174"/>
    <n v="378"/>
    <n v="511"/>
    <n v="174"/>
    <n v="379"/>
    <n v="526"/>
    <n v="171"/>
    <n v="369"/>
    <n v="493"/>
    <s v="1.76"/>
    <s v="3.85"/>
    <s v="5.7"/>
    <s v=""/>
    <s v=""/>
    <s v=""/>
  </r>
  <r>
    <s v="Brazil"/>
    <s v="Serie A"/>
    <n v="2024"/>
    <x v="52"/>
    <d v="1899-12-30T15:00:00"/>
    <x v="12"/>
    <s v="Vitoria"/>
    <n v="2"/>
    <n v="0"/>
    <x v="1"/>
    <n v="179"/>
    <n v="34"/>
    <n v="547"/>
    <n v="185"/>
    <n v="358"/>
    <n v="547"/>
    <n v="179"/>
    <n v="34"/>
    <n v="49"/>
    <s v="1.84"/>
    <s v="3.5"/>
    <s v="5.6"/>
    <s v=""/>
    <s v=""/>
    <s v=""/>
  </r>
  <r>
    <s v="Brazil"/>
    <s v="Serie A"/>
    <n v="2024"/>
    <x v="52"/>
    <d v="1899-12-30T20:00:00"/>
    <x v="13"/>
    <s v="Vasco"/>
    <n v="2"/>
    <n v="0"/>
    <x v="1"/>
    <n v="174"/>
    <n v="381"/>
    <n v="507"/>
    <n v="181"/>
    <n v="402"/>
    <n v="546"/>
    <n v="17"/>
    <n v="377"/>
    <n v="492"/>
    <s v="1.73"/>
    <s v="4"/>
    <s v="5.6"/>
    <s v=""/>
    <s v=""/>
    <s v=""/>
  </r>
  <r>
    <s v="Brazil"/>
    <s v="Serie A"/>
    <n v="2024"/>
    <x v="52"/>
    <d v="1899-12-30T20:00:00"/>
    <x v="10"/>
    <s v="Corinthians"/>
    <n v="0"/>
    <n v="1"/>
    <x v="2"/>
    <n v="171"/>
    <n v="377"/>
    <n v="531"/>
    <n v="173"/>
    <n v="4"/>
    <n v="552"/>
    <n v="168"/>
    <n v="379"/>
    <n v="507"/>
    <s v="1.71"/>
    <s v="4"/>
    <s v="5.9"/>
    <s v=""/>
    <s v=""/>
    <s v=""/>
  </r>
  <r>
    <s v="Brazil"/>
    <s v="Serie A"/>
    <n v="2024"/>
    <x v="52"/>
    <d v="1899-12-30T22:30:00"/>
    <x v="11"/>
    <s v="Athletico-PR"/>
    <n v="1"/>
    <n v="0"/>
    <x v="1"/>
    <n v="201"/>
    <n v="346"/>
    <n v="403"/>
    <n v="213"/>
    <n v="35"/>
    <n v="44"/>
    <n v="197"/>
    <n v="338"/>
    <n v="392"/>
    <s v="2.06"/>
    <s v="3.5"/>
    <s v="4.2"/>
    <s v=""/>
    <s v=""/>
    <s v=""/>
  </r>
  <r>
    <s v="Brazil"/>
    <s v="Serie A"/>
    <n v="2024"/>
    <x v="52"/>
    <d v="1899-12-30T22:30:00"/>
    <x v="14"/>
    <s v="Atletico GO"/>
    <n v="3"/>
    <n v="1"/>
    <x v="1"/>
    <n v="174"/>
    <n v="364"/>
    <n v="532"/>
    <n v="175"/>
    <n v="384"/>
    <n v="559"/>
    <n v="172"/>
    <n v="361"/>
    <n v="503"/>
    <s v="1.8"/>
    <s v="3.75"/>
    <s v="5.5"/>
    <s v=""/>
    <s v=""/>
    <s v=""/>
  </r>
  <r>
    <s v="Brazil"/>
    <s v="Serie A"/>
    <n v="2024"/>
    <x v="52"/>
    <d v="1899-12-30T22:30:00"/>
    <x v="15"/>
    <s v="Sao Paulo"/>
    <n v="0"/>
    <n v="0"/>
    <x v="0"/>
    <n v="359"/>
    <n v="329"/>
    <n v="222"/>
    <n v="426"/>
    <n v="335"/>
    <n v="222"/>
    <n v="364"/>
    <n v="325"/>
    <n v="21"/>
    <s v="3.9"/>
    <s v="3.35"/>
    <s v="2.22"/>
    <s v=""/>
    <s v=""/>
    <s v=""/>
  </r>
  <r>
    <s v="Brazil"/>
    <s v="Serie A"/>
    <n v="2024"/>
    <x v="53"/>
    <d v="1899-12-30T00:00:00"/>
    <x v="19"/>
    <s v="Fluminense"/>
    <n v="0"/>
    <n v="1"/>
    <x v="2"/>
    <n v="259"/>
    <n v="298"/>
    <n v="321"/>
    <n v="265"/>
    <n v="316"/>
    <n v="331"/>
    <n v="252"/>
    <n v="296"/>
    <n v="311"/>
    <s v="2.64"/>
    <s v="3"/>
    <s v="3.4"/>
    <s v=""/>
    <s v=""/>
    <s v=""/>
  </r>
  <r>
    <s v="Brazil"/>
    <s v="Serie A"/>
    <n v="2024"/>
    <x v="54"/>
    <d v="1899-12-30T23:00:00"/>
    <x v="0"/>
    <s v="Fortaleza"/>
    <n v="1"/>
    <n v="1"/>
    <x v="0"/>
    <n v="279"/>
    <n v="315"/>
    <n v="28"/>
    <n v="286"/>
    <n v="32"/>
    <n v="291"/>
    <n v="267"/>
    <n v="31"/>
    <n v="276"/>
    <s v="2.84"/>
    <s v="3.2"/>
    <s v="2.96"/>
    <s v=""/>
    <s v=""/>
    <s v=""/>
  </r>
  <r>
    <s v="Brazil"/>
    <s v="Serie A"/>
    <n v="2024"/>
    <x v="54"/>
    <d v="1899-12-30T23:00:00"/>
    <x v="8"/>
    <s v="Juventude"/>
    <n v="2"/>
    <n v="0"/>
    <x v="1"/>
    <n v="15"/>
    <n v="424"/>
    <n v="785"/>
    <n v="153"/>
    <n v="44"/>
    <n v="813"/>
    <n v="146"/>
    <n v="423"/>
    <n v="731"/>
    <s v="1.49"/>
    <s v="4.5"/>
    <s v="9"/>
    <s v=""/>
    <s v=""/>
    <s v=""/>
  </r>
  <r>
    <s v="Brazil"/>
    <s v="Serie A"/>
    <n v="2024"/>
    <x v="54"/>
    <d v="1899-12-30T23:30:00"/>
    <x v="3"/>
    <s v="Botafogo RJ"/>
    <n v="2"/>
    <n v="2"/>
    <x v="0"/>
    <n v="227"/>
    <n v="3"/>
    <n v="385"/>
    <n v="233"/>
    <n v="303"/>
    <n v="389"/>
    <n v="223"/>
    <n v="296"/>
    <n v="368"/>
    <s v="2.34"/>
    <s v="3.05"/>
    <s v="4"/>
    <s v=""/>
    <s v=""/>
    <s v=""/>
  </r>
  <r>
    <s v="Brazil"/>
    <s v="Serie A"/>
    <n v="2024"/>
    <x v="55"/>
    <d v="1899-12-30T00:00:00"/>
    <x v="9"/>
    <s v="Flamengo RJ"/>
    <n v="1"/>
    <n v="2"/>
    <x v="2"/>
    <n v="517"/>
    <n v="374"/>
    <n v="174"/>
    <n v="552"/>
    <n v="375"/>
    <n v="176"/>
    <n v="497"/>
    <n v="365"/>
    <n v="172"/>
    <s v="5.5"/>
    <s v="3.8"/>
    <s v="1.79"/>
    <s v=""/>
    <s v=""/>
    <s v=""/>
  </r>
  <r>
    <s v="Brazil"/>
    <s v="Serie A"/>
    <n v="2024"/>
    <x v="55"/>
    <d v="1899-12-30T01:30:00"/>
    <x v="5"/>
    <s v="Bahia"/>
    <n v="1"/>
    <n v="1"/>
    <x v="0"/>
    <n v="314"/>
    <n v="328"/>
    <n v="244"/>
    <n v="326"/>
    <n v="328"/>
    <n v="25"/>
    <n v="303"/>
    <n v="321"/>
    <n v="24"/>
    <s v="3.15"/>
    <s v="3.4"/>
    <s v="2.52"/>
    <s v=""/>
    <s v=""/>
    <s v=""/>
  </r>
  <r>
    <s v="Brazil"/>
    <s v="Serie A"/>
    <n v="2024"/>
    <x v="55"/>
    <d v="1899-12-30T01:30:00"/>
    <x v="2"/>
    <s v="Palmeiras"/>
    <n v="1"/>
    <n v="0"/>
    <x v="1"/>
    <n v="31"/>
    <n v="32"/>
    <n v="251"/>
    <n v="34"/>
    <n v="327"/>
    <n v="251"/>
    <n v="308"/>
    <n v="317"/>
    <n v="241"/>
    <s v="3.25"/>
    <s v="3.25"/>
    <s v="2.56"/>
    <s v=""/>
    <s v=""/>
    <s v=""/>
  </r>
  <r>
    <s v="Brazil"/>
    <s v="Serie A"/>
    <n v="2024"/>
    <x v="56"/>
    <d v="1899-12-30T00:00:00"/>
    <x v="6"/>
    <s v="Gremio"/>
    <n v="2"/>
    <n v="2"/>
    <x v="0"/>
    <n v="199"/>
    <n v="329"/>
    <n v="436"/>
    <n v="205"/>
    <n v="334"/>
    <n v="436"/>
    <n v="199"/>
    <n v="321"/>
    <n v="411"/>
    <s v="2.06"/>
    <s v="3.3"/>
    <s v="4.6"/>
    <s v=""/>
    <s v=""/>
    <s v=""/>
  </r>
  <r>
    <s v="Brazil"/>
    <s v="Serie A"/>
    <n v="2024"/>
    <x v="57"/>
    <d v="1899-12-30T23:00:00"/>
    <x v="15"/>
    <s v="Criciuma"/>
    <n v="1"/>
    <n v="2"/>
    <x v="2"/>
    <n v="233"/>
    <n v="312"/>
    <n v="353"/>
    <n v="235"/>
    <n v="316"/>
    <n v="356"/>
    <n v="227"/>
    <n v="31"/>
    <n v="341"/>
    <s v="2.38"/>
    <s v="3.3"/>
    <s v="3.55"/>
    <s v=""/>
    <s v=""/>
    <s v=""/>
  </r>
  <r>
    <s v="Brazil"/>
    <s v="Serie A"/>
    <n v="2024"/>
    <x v="57"/>
    <d v="1899-12-30T23:00:00"/>
    <x v="16"/>
    <s v="Vitoria"/>
    <n v="0"/>
    <n v="2"/>
    <x v="2"/>
    <n v="147"/>
    <n v="456"/>
    <n v="75"/>
    <n v="152"/>
    <n v="477"/>
    <n v="75"/>
    <n v="146"/>
    <n v="442"/>
    <n v="693"/>
    <s v="1.47"/>
    <s v="4.7"/>
    <s v="8.8"/>
    <s v=""/>
    <s v=""/>
    <s v=""/>
  </r>
  <r>
    <s v="Brazil"/>
    <s v="Serie A"/>
    <n v="2024"/>
    <x v="58"/>
    <d v="1899-12-30T00:00:00"/>
    <x v="10"/>
    <s v="Internacional"/>
    <n v="1"/>
    <n v="1"/>
    <x v="0"/>
    <n v="204"/>
    <n v="344"/>
    <n v="396"/>
    <n v="206"/>
    <n v="345"/>
    <n v="429"/>
    <n v="199"/>
    <n v="334"/>
    <n v="393"/>
    <s v="2.12"/>
    <s v="3.45"/>
    <s v="4.1"/>
    <s v=""/>
    <s v=""/>
    <s v=""/>
  </r>
  <r>
    <s v="Brazil"/>
    <s v="Serie A"/>
    <n v="2024"/>
    <x v="58"/>
    <d v="1899-12-30T01:30:00"/>
    <x v="18"/>
    <s v="Cruzeiro"/>
    <n v="0"/>
    <n v="3"/>
    <x v="2"/>
    <n v="214"/>
    <n v="339"/>
    <n v="369"/>
    <n v="216"/>
    <n v="339"/>
    <n v="4"/>
    <n v="21"/>
    <n v="326"/>
    <n v="365"/>
    <s v="2.22"/>
    <s v="3.4"/>
    <s v="3.8"/>
    <s v=""/>
    <s v=""/>
    <s v=""/>
  </r>
  <r>
    <s v="Brazil"/>
    <s v="Serie A"/>
    <n v="2024"/>
    <x v="58"/>
    <d v="1899-12-30T01:30:00"/>
    <x v="14"/>
    <s v="Sao Paulo"/>
    <n v="1"/>
    <n v="0"/>
    <x v="1"/>
    <n v="236"/>
    <n v="294"/>
    <n v="371"/>
    <n v="237"/>
    <n v="3"/>
    <n v="391"/>
    <n v="23"/>
    <n v="289"/>
    <n v="363"/>
    <s v="2.4"/>
    <s v="3.05"/>
    <s v="3.8"/>
    <s v=""/>
    <s v=""/>
    <s v=""/>
  </r>
  <r>
    <s v="Brazil"/>
    <s v="Serie A"/>
    <n v="2024"/>
    <x v="58"/>
    <d v="1899-12-30T15:00:00"/>
    <x v="11"/>
    <s v="Fluminense"/>
    <n v="0"/>
    <n v="1"/>
    <x v="2"/>
    <n v="241"/>
    <n v="323"/>
    <n v="324"/>
    <n v="25"/>
    <n v="325"/>
    <n v="338"/>
    <n v="235"/>
    <n v="316"/>
    <n v="317"/>
    <s v="2.5"/>
    <s v="3.3"/>
    <s v="3.3"/>
    <s v=""/>
    <s v=""/>
    <s v=""/>
  </r>
  <r>
    <s v="Brazil"/>
    <s v="Serie A"/>
    <n v="2024"/>
    <x v="58"/>
    <d v="1899-12-30T20:00:00"/>
    <x v="17"/>
    <s v="Atletico GO"/>
    <n v="2"/>
    <n v="0"/>
    <x v="1"/>
    <n v="129"/>
    <n v="574"/>
    <n v="1142"/>
    <n v="133"/>
    <n v="58"/>
    <n v="116"/>
    <n v="129"/>
    <n v="545"/>
    <n v="1047"/>
    <s v="1.3"/>
    <s v="6.4"/>
    <s v="13"/>
    <s v=""/>
    <s v=""/>
    <s v=""/>
  </r>
  <r>
    <s v="Brazil"/>
    <s v="Serie A"/>
    <n v="2024"/>
    <x v="58"/>
    <d v="1899-12-30T23:00:00"/>
    <x v="13"/>
    <s v="Corinthians"/>
    <n v="2"/>
    <n v="1"/>
    <x v="1"/>
    <n v="171"/>
    <n v="365"/>
    <n v="564"/>
    <n v="175"/>
    <n v="375"/>
    <n v="581"/>
    <n v="169"/>
    <n v="356"/>
    <n v="537"/>
    <s v="1.76"/>
    <s v="3.7"/>
    <s v="6"/>
    <s v=""/>
    <s v=""/>
    <s v=""/>
  </r>
  <r>
    <s v="Brazil"/>
    <s v="Serie A"/>
    <n v="2024"/>
    <x v="58"/>
    <d v="1899-12-30T23:00:00"/>
    <x v="19"/>
    <s v="Athletico-PR"/>
    <n v="1"/>
    <n v="2"/>
    <x v="2"/>
    <n v="241"/>
    <n v="314"/>
    <n v="334"/>
    <n v="25"/>
    <n v="314"/>
    <n v="345"/>
    <n v="237"/>
    <n v="307"/>
    <n v="324"/>
    <s v="2.44"/>
    <s v="3.15"/>
    <s v="3.55"/>
    <s v=""/>
    <s v=""/>
    <s v=""/>
  </r>
  <r>
    <s v="Brazil"/>
    <s v="Serie A"/>
    <n v="2024"/>
    <x v="58"/>
    <d v="1899-12-30T23:00:00"/>
    <x v="12"/>
    <s v="Vasco"/>
    <n v="1"/>
    <n v="0"/>
    <x v="1"/>
    <n v="207"/>
    <n v="333"/>
    <n v="399"/>
    <n v="215"/>
    <n v="339"/>
    <n v="418"/>
    <n v="204"/>
    <n v="326"/>
    <n v="383"/>
    <s v="2.08"/>
    <s v="3.45"/>
    <s v="4.2"/>
    <s v=""/>
    <s v=""/>
    <s v=""/>
  </r>
  <r>
    <s v="Brazil"/>
    <s v="Serie A"/>
    <n v="2024"/>
    <x v="59"/>
    <d v="1899-12-30T20:00:00"/>
    <x v="9"/>
    <s v="Cuiaba"/>
    <n v="1"/>
    <n v="0"/>
    <x v="1"/>
    <n v="293"/>
    <n v="293"/>
    <n v="285"/>
    <n v="295"/>
    <n v="305"/>
    <n v="294"/>
    <n v="285"/>
    <n v="29"/>
    <n v="278"/>
    <s v="3"/>
    <s v="3"/>
    <s v="2.96"/>
    <s v=""/>
    <s v=""/>
    <s v=""/>
  </r>
  <r>
    <s v="Brazil"/>
    <s v="Serie A"/>
    <n v="2024"/>
    <x v="59"/>
    <d v="1899-12-30T23:00:00"/>
    <x v="7"/>
    <s v="Bragantino"/>
    <n v="2"/>
    <n v="2"/>
    <x v="0"/>
    <n v="195"/>
    <n v="396"/>
    <n v="37"/>
    <n v="2"/>
    <n v="398"/>
    <n v="392"/>
    <n v="193"/>
    <n v="384"/>
    <n v="363"/>
    <s v="2.02"/>
    <s v="4"/>
    <s v="3.8"/>
    <s v=""/>
    <s v=""/>
    <s v=""/>
  </r>
  <r>
    <s v="Brazil"/>
    <s v="Serie A"/>
    <n v="2024"/>
    <x v="60"/>
    <d v="1899-12-30T00:00:00"/>
    <x v="5"/>
    <s v="Botafogo RJ"/>
    <n v="1"/>
    <n v="4"/>
    <x v="2"/>
    <n v="293"/>
    <n v="315"/>
    <n v="267"/>
    <n v="314"/>
    <n v="323"/>
    <n v="267"/>
    <n v="294"/>
    <n v="312"/>
    <n v="253"/>
    <s v="3"/>
    <s v="3.3"/>
    <s v="2.72"/>
    <s v=""/>
    <s v=""/>
    <s v=""/>
  </r>
  <r>
    <s v="Brazil"/>
    <s v="Serie A"/>
    <n v="2024"/>
    <x v="60"/>
    <d v="1899-12-30T00:00:00"/>
    <x v="0"/>
    <s v="Atletico-MG"/>
    <n v="2"/>
    <n v="1"/>
    <x v="1"/>
    <n v="406"/>
    <n v="344"/>
    <n v="201"/>
    <n v="413"/>
    <n v="356"/>
    <n v="201"/>
    <n v="397"/>
    <n v="34"/>
    <n v="196"/>
    <s v="4.1"/>
    <s v="3.7"/>
    <s v="2.02"/>
    <s v=""/>
    <s v=""/>
    <s v=""/>
  </r>
  <r>
    <s v="Brazil"/>
    <s v="Serie A"/>
    <n v="2024"/>
    <x v="60"/>
    <d v="1899-12-30T01:30:00"/>
    <x v="3"/>
    <s v="Flamengo RJ"/>
    <n v="1"/>
    <n v="0"/>
    <x v="1"/>
    <n v="225"/>
    <n v="311"/>
    <n v="375"/>
    <n v="229"/>
    <n v="311"/>
    <n v="39"/>
    <n v="221"/>
    <n v="301"/>
    <n v="371"/>
    <s v="2.24"/>
    <s v="3.25"/>
    <s v="4"/>
    <s v=""/>
    <s v=""/>
    <s v=""/>
  </r>
  <r>
    <s v="Brazil"/>
    <s v="Serie A"/>
    <n v="2024"/>
    <x v="60"/>
    <d v="1899-12-30T20:00:00"/>
    <x v="4"/>
    <s v="Gremio"/>
    <n v="0"/>
    <n v="2"/>
    <x v="2"/>
    <n v="169"/>
    <n v="386"/>
    <n v="535"/>
    <n v="172"/>
    <n v="412"/>
    <n v="57"/>
    <n v="165"/>
    <n v="385"/>
    <n v="524"/>
    <s v="1.7"/>
    <s v="4.1"/>
    <s v="5.8"/>
    <s v=""/>
    <s v=""/>
    <s v=""/>
  </r>
  <r>
    <s v="Brazil"/>
    <s v="Serie A"/>
    <n v="2024"/>
    <x v="60"/>
    <d v="1899-12-30T20:00:00"/>
    <x v="6"/>
    <s v="Juventude"/>
    <n v="1"/>
    <n v="1"/>
    <x v="0"/>
    <n v="165"/>
    <n v="37"/>
    <n v="618"/>
    <n v="17"/>
    <n v="386"/>
    <n v="618"/>
    <n v="165"/>
    <n v="368"/>
    <n v="564"/>
    <s v="1.67"/>
    <s v="4"/>
    <s v="6.2"/>
    <s v=""/>
    <s v=""/>
    <s v=""/>
  </r>
  <r>
    <s v="Brazil"/>
    <s v="Serie A"/>
    <n v="2024"/>
    <x v="60"/>
    <d v="1899-12-30T20:00:00"/>
    <x v="2"/>
    <s v="Bahia"/>
    <n v="1"/>
    <n v="0"/>
    <x v="1"/>
    <n v="209"/>
    <n v="333"/>
    <n v="392"/>
    <n v="215"/>
    <n v="34"/>
    <n v="398"/>
    <n v="208"/>
    <n v="327"/>
    <n v="372"/>
    <s v="2.18"/>
    <s v="3.35"/>
    <s v="3.95"/>
    <s v=""/>
    <s v=""/>
    <s v=""/>
  </r>
  <r>
    <s v="Brazil"/>
    <s v="Serie A"/>
    <n v="2024"/>
    <x v="60"/>
    <d v="1899-12-30T21:00:00"/>
    <x v="1"/>
    <s v="Palmeiras"/>
    <n v="1"/>
    <n v="1"/>
    <x v="0"/>
    <n v="235"/>
    <n v="324"/>
    <n v="335"/>
    <n v="25"/>
    <n v="33"/>
    <n v="335"/>
    <n v="234"/>
    <n v="318"/>
    <n v="317"/>
    <s v="2.4"/>
    <s v="3.25"/>
    <s v="3.5"/>
    <s v=""/>
    <s v=""/>
    <s v=""/>
  </r>
  <r>
    <s v="Brazil"/>
    <s v="Serie A"/>
    <n v="2024"/>
    <x v="61"/>
    <d v="1899-12-30T01:00:00"/>
    <x v="8"/>
    <s v="Fortaleza"/>
    <n v="1"/>
    <n v="2"/>
    <x v="2"/>
    <n v="189"/>
    <n v="342"/>
    <n v="468"/>
    <n v="194"/>
    <n v="352"/>
    <n v="47"/>
    <n v="187"/>
    <n v="339"/>
    <n v="438"/>
    <s v="1.92"/>
    <s v="3.55"/>
    <s v="5"/>
    <s v=""/>
    <s v=""/>
    <s v=""/>
  </r>
  <r>
    <s v="Brazil"/>
    <s v="Serie A"/>
    <n v="2024"/>
    <x v="62"/>
    <d v="1899-12-30T20:00:00"/>
    <x v="14"/>
    <s v="Criciuma"/>
    <n v="1"/>
    <n v="0"/>
    <x v="1"/>
    <n v="182"/>
    <n v="34"/>
    <n v="52"/>
    <n v="186"/>
    <n v="361"/>
    <n v="546"/>
    <n v="179"/>
    <n v="339"/>
    <n v="491"/>
    <s v="1.83"/>
    <s v="3.6"/>
    <s v="5.6"/>
    <s v=""/>
    <s v=""/>
    <s v=""/>
  </r>
  <r>
    <s v="Brazil"/>
    <s v="Serie A"/>
    <n v="2024"/>
    <x v="62"/>
    <d v="1899-12-30T23:00:00"/>
    <x v="19"/>
    <s v="Gremio"/>
    <n v="1"/>
    <n v="3"/>
    <x v="2"/>
    <n v="269"/>
    <n v="299"/>
    <n v="307"/>
    <n v="27"/>
    <n v="327"/>
    <n v="381"/>
    <n v="253"/>
    <n v="296"/>
    <n v="309"/>
    <s v="2.7"/>
    <s v="3"/>
    <s v="3.25"/>
    <s v=""/>
    <s v=""/>
    <s v=""/>
  </r>
  <r>
    <s v="Brazil"/>
    <s v="Serie A"/>
    <n v="2024"/>
    <x v="63"/>
    <d v="1899-12-30T01:30:00"/>
    <x v="6"/>
    <s v="Bragantino"/>
    <n v="1"/>
    <n v="1"/>
    <x v="0"/>
    <n v="224"/>
    <n v="307"/>
    <n v="384"/>
    <n v="225"/>
    <n v="32"/>
    <n v="4"/>
    <n v="216"/>
    <n v="306"/>
    <n v="375"/>
    <s v="2.22"/>
    <s v="3.2"/>
    <s v="4.1"/>
    <s v=""/>
    <s v=""/>
    <s v=""/>
  </r>
  <r>
    <s v="Brazil"/>
    <s v="Serie A"/>
    <n v="2024"/>
    <x v="63"/>
    <d v="1899-12-30T01:30:00"/>
    <x v="8"/>
    <s v="Atletico-MG"/>
    <n v="0"/>
    <n v="0"/>
    <x v="0"/>
    <n v="237"/>
    <n v="305"/>
    <n v="353"/>
    <n v="237"/>
    <n v="33"/>
    <n v="375"/>
    <n v="231"/>
    <n v="3"/>
    <n v="344"/>
    <s v="2.44"/>
    <s v="3.1"/>
    <s v="3.65"/>
    <s v=""/>
    <s v=""/>
    <s v=""/>
  </r>
  <r>
    <s v="Brazil"/>
    <s v="Serie A"/>
    <n v="2024"/>
    <x v="63"/>
    <d v="1899-12-30T01:30:00"/>
    <x v="7"/>
    <s v="Fluminense"/>
    <n v="2"/>
    <n v="0"/>
    <x v="1"/>
    <n v="275"/>
    <n v="302"/>
    <n v="295"/>
    <n v="288"/>
    <n v="318"/>
    <n v="302"/>
    <n v="268"/>
    <n v="299"/>
    <n v="286"/>
    <s v="2.8"/>
    <s v="3.05"/>
    <s v="3.1"/>
    <s v=""/>
    <s v=""/>
    <s v=""/>
  </r>
  <r>
    <s v="Brazil"/>
    <s v="Serie A"/>
    <n v="2024"/>
    <x v="63"/>
    <d v="1899-12-30T15:00:00"/>
    <x v="15"/>
    <s v="Botafogo RJ"/>
    <n v="3"/>
    <n v="2"/>
    <x v="1"/>
    <n v="385"/>
    <n v="336"/>
    <n v="21"/>
    <n v="42"/>
    <n v="348"/>
    <n v="225"/>
    <n v="378"/>
    <n v="334"/>
    <n v="202"/>
    <s v="4.1"/>
    <s v="3.5"/>
    <s v="2.08"/>
    <s v=""/>
    <s v=""/>
    <s v=""/>
  </r>
  <r>
    <s v="Brazil"/>
    <s v="Serie A"/>
    <n v="2024"/>
    <x v="63"/>
    <d v="1899-12-30T20:00:00"/>
    <x v="10"/>
    <s v="Vitoria"/>
    <n v="2"/>
    <n v="0"/>
    <x v="1"/>
    <n v="166"/>
    <n v="369"/>
    <n v="606"/>
    <n v="169"/>
    <n v="376"/>
    <n v="633"/>
    <n v="164"/>
    <n v="363"/>
    <n v="575"/>
    <s v="1.67"/>
    <s v="3.9"/>
    <s v="6.8"/>
    <s v=""/>
    <s v=""/>
    <s v=""/>
  </r>
  <r>
    <s v="Brazil"/>
    <s v="Serie A"/>
    <n v="2024"/>
    <x v="63"/>
    <d v="1899-12-30T20:00:00"/>
    <x v="17"/>
    <s v="Palmeiras"/>
    <n v="1"/>
    <n v="1"/>
    <x v="0"/>
    <n v="174"/>
    <n v="362"/>
    <n v="544"/>
    <n v="198"/>
    <n v="369"/>
    <n v="55"/>
    <n v="173"/>
    <n v="356"/>
    <n v="504"/>
    <s v="1.75"/>
    <s v="3.8"/>
    <s v="5.8"/>
    <s v=""/>
    <s v=""/>
    <s v=""/>
  </r>
  <r>
    <s v="Brazil"/>
    <s v="Serie A"/>
    <n v="2024"/>
    <x v="63"/>
    <d v="1899-12-30T20:00:00"/>
    <x v="3"/>
    <s v="Atletico GO"/>
    <n v="1"/>
    <n v="0"/>
    <x v="1"/>
    <n v="196"/>
    <n v="331"/>
    <n v="45"/>
    <n v="2"/>
    <n v="385"/>
    <n v="628"/>
    <n v="189"/>
    <n v="331"/>
    <n v="444"/>
    <s v="1.99"/>
    <s v="3.4"/>
    <s v="4.8"/>
    <s v=""/>
    <s v=""/>
    <s v=""/>
  </r>
  <r>
    <s v="Brazil"/>
    <s v="Serie A"/>
    <n v="2024"/>
    <x v="63"/>
    <d v="1899-12-30T23:00:00"/>
    <x v="1"/>
    <s v="Athletico-PR"/>
    <n v="2"/>
    <n v="2"/>
    <x v="0"/>
    <n v="193"/>
    <n v="335"/>
    <n v="458"/>
    <n v="2"/>
    <n v="337"/>
    <n v="46"/>
    <n v="192"/>
    <n v="326"/>
    <n v="432"/>
    <s v="1.96"/>
    <s v="3.5"/>
    <s v="4.8"/>
    <s v=""/>
    <s v=""/>
    <s v=""/>
  </r>
  <r>
    <s v="Brazil"/>
    <s v="Serie A"/>
    <n v="2024"/>
    <x v="64"/>
    <d v="1899-12-30T23:30:00"/>
    <x v="1"/>
    <s v="Juventude"/>
    <n v="2"/>
    <n v="1"/>
    <x v="1"/>
    <n v="158"/>
    <n v="421"/>
    <n v="598"/>
    <n v="161"/>
    <n v="442"/>
    <n v="6"/>
    <n v="157"/>
    <n v="416"/>
    <n v="559"/>
    <s v="1.6"/>
    <s v="4.4"/>
    <s v="6.4"/>
    <s v=""/>
    <s v=""/>
    <s v=""/>
  </r>
  <r>
    <s v="Brazil"/>
    <s v="Serie A"/>
    <n v="2024"/>
    <x v="65"/>
    <d v="1899-12-30T20:00:00"/>
    <x v="13"/>
    <s v="Cuiaba"/>
    <n v="1"/>
    <n v="1"/>
    <x v="0"/>
    <n v="188"/>
    <n v="325"/>
    <n v="513"/>
    <n v="196"/>
    <n v="345"/>
    <n v="6"/>
    <n v="185"/>
    <n v="321"/>
    <n v="493"/>
    <s v="1.91"/>
    <s v="3.35"/>
    <s v="5.4"/>
    <s v=""/>
    <s v=""/>
    <s v=""/>
  </r>
  <r>
    <s v="Brazil"/>
    <s v="Serie A"/>
    <n v="2024"/>
    <x v="65"/>
    <d v="1899-12-30T20:00:00"/>
    <x v="12"/>
    <s v="Bahia"/>
    <n v="0"/>
    <n v="2"/>
    <x v="2"/>
    <n v="28"/>
    <n v="328"/>
    <n v="27"/>
    <n v="282"/>
    <n v="328"/>
    <n v="3"/>
    <n v="271"/>
    <n v="318"/>
    <n v="269"/>
    <s v="2.82"/>
    <s v="3.35"/>
    <s v="2.84"/>
    <s v=""/>
    <s v=""/>
    <s v=""/>
  </r>
  <r>
    <s v="Brazil"/>
    <s v="Serie A"/>
    <n v="2024"/>
    <x v="65"/>
    <d v="1899-12-30T22:30:00"/>
    <x v="11"/>
    <s v="Fortaleza"/>
    <n v="1"/>
    <n v="2"/>
    <x v="2"/>
    <n v="256"/>
    <n v="323"/>
    <n v="3"/>
    <n v="268"/>
    <n v="325"/>
    <n v="3"/>
    <n v="255"/>
    <n v="317"/>
    <n v="287"/>
    <s v="2.68"/>
    <s v="3.25"/>
    <s v="3.1"/>
    <s v=""/>
    <s v=""/>
    <s v=""/>
  </r>
  <r>
    <s v="Brazil"/>
    <s v="Serie A"/>
    <n v="2024"/>
    <x v="66"/>
    <d v="1899-12-30T01:00:00"/>
    <x v="2"/>
    <s v="Corinthians"/>
    <n v="0"/>
    <n v="0"/>
    <x v="0"/>
    <n v="257"/>
    <n v="293"/>
    <n v="33"/>
    <n v="27"/>
    <n v="295"/>
    <n v="335"/>
    <n v="253"/>
    <n v="288"/>
    <n v="317"/>
    <s v="2.72"/>
    <s v="2.98"/>
    <s v="3.35"/>
    <s v=""/>
    <s v=""/>
    <s v=""/>
  </r>
  <r>
    <s v="Brazil"/>
    <s v="Serie A"/>
    <n v="2024"/>
    <x v="66"/>
    <d v="1899-12-30T20:00:00"/>
    <x v="5"/>
    <s v="Internacional"/>
    <n v="1"/>
    <n v="0"/>
    <x v="1"/>
    <n v="303"/>
    <n v="32"/>
    <n v="256"/>
    <n v="32"/>
    <n v="32"/>
    <n v="257"/>
    <n v="3"/>
    <n v="31"/>
    <n v="249"/>
    <s v="3.1"/>
    <s v="3.25"/>
    <s v="2.68"/>
    <s v=""/>
    <s v=""/>
    <s v=""/>
  </r>
  <r>
    <s v="Brazil"/>
    <s v="Serie A"/>
    <n v="2024"/>
    <x v="66"/>
    <d v="1899-12-30T20:00:00"/>
    <x v="0"/>
    <s v="Vasco"/>
    <n v="2"/>
    <n v="2"/>
    <x v="0"/>
    <n v="211"/>
    <n v="328"/>
    <n v="393"/>
    <n v="213"/>
    <n v="34"/>
    <n v="393"/>
    <n v="206"/>
    <n v="325"/>
    <n v="377"/>
    <s v="2.16"/>
    <s v="3.35"/>
    <s v="4.1"/>
    <s v=""/>
    <s v=""/>
    <s v=""/>
  </r>
  <r>
    <s v="Brazil"/>
    <s v="Serie A"/>
    <n v="2024"/>
    <x v="66"/>
    <d v="1899-12-30T20:00:00"/>
    <x v="16"/>
    <s v="Sao Paulo"/>
    <n v="2"/>
    <n v="1"/>
    <x v="1"/>
    <n v="171"/>
    <n v="351"/>
    <n v="592"/>
    <n v="176"/>
    <n v="357"/>
    <n v="6"/>
    <n v="17"/>
    <n v="345"/>
    <n v="558"/>
    <s v="1.73"/>
    <s v="3.7"/>
    <s v="6.4"/>
    <s v=""/>
    <s v=""/>
    <s v=""/>
  </r>
  <r>
    <s v="Brazil"/>
    <s v="Serie A"/>
    <n v="2024"/>
    <x v="66"/>
    <d v="1899-12-30T22:30:00"/>
    <x v="4"/>
    <s v="Juventude"/>
    <n v="1"/>
    <n v="2"/>
    <x v="2"/>
    <n v="172"/>
    <n v="394"/>
    <n v="494"/>
    <n v="174"/>
    <n v="42"/>
    <n v="56"/>
    <n v="168"/>
    <n v="392"/>
    <n v="487"/>
    <s v="1.74"/>
    <s v="4.1"/>
    <s v="5.2"/>
    <s v=""/>
    <s v=""/>
    <s v=""/>
  </r>
  <r>
    <s v="Brazil"/>
    <s v="Serie A"/>
    <n v="2024"/>
    <x v="66"/>
    <d v="1899-12-30T22:30:00"/>
    <x v="18"/>
    <s v="Flamengo RJ"/>
    <n v="4"/>
    <n v="1"/>
    <x v="1"/>
    <n v="236"/>
    <n v="318"/>
    <n v="338"/>
    <n v="259"/>
    <n v="325"/>
    <n v="339"/>
    <n v="238"/>
    <n v="311"/>
    <n v="319"/>
    <s v="2.46"/>
    <s v="3.2"/>
    <s v="3.5"/>
    <s v=""/>
    <s v=""/>
    <s v=""/>
  </r>
  <r>
    <s v="Brazil"/>
    <s v="Serie A"/>
    <n v="2024"/>
    <x v="67"/>
    <d v="1899-12-30T00:00:00"/>
    <x v="9"/>
    <s v="Cruzeiro"/>
    <n v="2"/>
    <n v="2"/>
    <x v="0"/>
    <n v="287"/>
    <n v="296"/>
    <n v="289"/>
    <n v="287"/>
    <n v="3"/>
    <n v="29"/>
    <n v="279"/>
    <n v="29"/>
    <n v="282"/>
    <s v="2.94"/>
    <s v="3"/>
    <s v="3"/>
    <s v=""/>
    <s v=""/>
    <s v=""/>
  </r>
  <r>
    <s v="Brazil"/>
    <s v="Serie A"/>
    <n v="2024"/>
    <x v="68"/>
    <d v="1899-12-30T20:00:00"/>
    <x v="5"/>
    <s v="Juventude"/>
    <n v="2"/>
    <n v="1"/>
    <x v="1"/>
    <n v="181"/>
    <n v="362"/>
    <n v="481"/>
    <n v="19"/>
    <n v="362"/>
    <n v="493"/>
    <n v="182"/>
    <n v="349"/>
    <n v="454"/>
    <s v="1.86"/>
    <s v="3.7"/>
    <s v="5.1"/>
    <s v=""/>
    <s v=""/>
    <s v=""/>
  </r>
  <r>
    <s v="Brazil"/>
    <s v="Serie A"/>
    <n v="2024"/>
    <x v="68"/>
    <d v="1899-12-30T22:30:00"/>
    <x v="16"/>
    <s v="Cuiaba"/>
    <n v="5"/>
    <n v="0"/>
    <x v="1"/>
    <n v="144"/>
    <n v="448"/>
    <n v="829"/>
    <n v="149"/>
    <n v="45"/>
    <n v="829"/>
    <n v="144"/>
    <n v="431"/>
    <n v="77"/>
    <s v="1.46"/>
    <s v="4.6"/>
    <s v="9.4"/>
    <s v=""/>
    <s v=""/>
    <s v=""/>
  </r>
  <r>
    <s v="Brazil"/>
    <s v="Serie A"/>
    <n v="2024"/>
    <x v="69"/>
    <d v="1899-12-30T01:00:00"/>
    <x v="13"/>
    <s v="Fluminense"/>
    <n v="0"/>
    <n v="2"/>
    <x v="2"/>
    <n v="195"/>
    <n v="323"/>
    <n v="471"/>
    <n v="202"/>
    <n v="325"/>
    <n v="481"/>
    <n v="192"/>
    <n v="316"/>
    <n v="455"/>
    <s v="1.98"/>
    <s v="3.3"/>
    <s v="5"/>
    <s v=""/>
    <s v=""/>
    <s v=""/>
  </r>
  <r>
    <s v="Brazil"/>
    <s v="Serie A"/>
    <n v="2024"/>
    <x v="69"/>
    <d v="1899-12-30T20:00:00"/>
    <x v="10"/>
    <s v="Botafogo RJ"/>
    <n v="0"/>
    <n v="0"/>
    <x v="0"/>
    <n v="226"/>
    <n v="349"/>
    <n v="327"/>
    <n v="229"/>
    <n v="354"/>
    <n v="334"/>
    <n v="222"/>
    <n v="34"/>
    <n v="321"/>
    <s v="2.28"/>
    <s v="3.6"/>
    <s v="3.4"/>
    <s v=""/>
    <s v=""/>
    <s v=""/>
  </r>
  <r>
    <s v="Brazil"/>
    <s v="Serie A"/>
    <n v="2024"/>
    <x v="69"/>
    <d v="1899-12-30T20:00:00"/>
    <x v="0"/>
    <s v="Gremio"/>
    <n v="0"/>
    <n v="1"/>
    <x v="2"/>
    <n v="279"/>
    <n v="326"/>
    <n v="272"/>
    <n v="287"/>
    <n v="335"/>
    <n v="288"/>
    <n v="275"/>
    <n v="321"/>
    <n v="264"/>
    <s v="3"/>
    <s v="3.3"/>
    <s v="2.68"/>
    <s v=""/>
    <s v=""/>
    <s v=""/>
  </r>
  <r>
    <s v="Brazil"/>
    <s v="Serie A"/>
    <n v="2024"/>
    <x v="69"/>
    <d v="1899-12-30T20:00:00"/>
    <x v="14"/>
    <s v="Corinthians"/>
    <n v="1"/>
    <n v="0"/>
    <x v="1"/>
    <n v="203"/>
    <n v="323"/>
    <n v="428"/>
    <n v="208"/>
    <n v="34"/>
    <n v="5"/>
    <n v="197"/>
    <n v="322"/>
    <n v="421"/>
    <s v="2.06"/>
    <s v="3.35"/>
    <s v="4.5"/>
    <s v=""/>
    <s v=""/>
    <s v=""/>
  </r>
  <r>
    <s v="Brazil"/>
    <s v="Serie A"/>
    <n v="2024"/>
    <x v="69"/>
    <d v="1899-12-30T22:30:00"/>
    <x v="3"/>
    <s v="Vitoria"/>
    <n v="2"/>
    <n v="1"/>
    <x v="1"/>
    <n v="177"/>
    <n v="36"/>
    <n v="517"/>
    <n v="178"/>
    <n v="367"/>
    <n v="557"/>
    <n v="173"/>
    <n v="353"/>
    <n v="509"/>
    <s v="1.73"/>
    <s v="3.75"/>
    <s v="6.2"/>
    <s v=""/>
    <s v=""/>
    <s v=""/>
  </r>
  <r>
    <s v="Brazil"/>
    <s v="Serie A"/>
    <n v="2024"/>
    <x v="69"/>
    <d v="1899-12-30T23:00:00"/>
    <x v="1"/>
    <s v="Cruzeiro"/>
    <n v="1"/>
    <n v="0"/>
    <x v="1"/>
    <n v="206"/>
    <n v="319"/>
    <n v="426"/>
    <n v="206"/>
    <n v="335"/>
    <n v="44"/>
    <n v="2"/>
    <n v="315"/>
    <n v="418"/>
    <s v="2.08"/>
    <s v="3.3"/>
    <s v="4.5"/>
    <s v=""/>
    <s v=""/>
    <s v=""/>
  </r>
  <r>
    <s v="Brazil"/>
    <s v="Serie A"/>
    <n v="2024"/>
    <x v="70"/>
    <d v="1899-12-30T00:00:00"/>
    <x v="17"/>
    <s v="Bragantino"/>
    <n v="2"/>
    <n v="1"/>
    <x v="1"/>
    <n v="162"/>
    <n v="388"/>
    <n v="616"/>
    <n v="165"/>
    <n v="4"/>
    <n v="657"/>
    <n v="161"/>
    <n v="376"/>
    <n v="587"/>
    <s v="1.65"/>
    <s v="3.95"/>
    <s v="6.8"/>
    <s v=""/>
    <s v=""/>
    <s v=""/>
  </r>
  <r>
    <s v="Brazil"/>
    <s v="Serie A"/>
    <n v="2024"/>
    <x v="71"/>
    <d v="1899-12-30T01:00:00"/>
    <x v="7"/>
    <s v="Athletico-PR"/>
    <n v="2"/>
    <n v="1"/>
    <x v="1"/>
    <n v="222"/>
    <n v="328"/>
    <n v="359"/>
    <n v="225"/>
    <n v="332"/>
    <n v="362"/>
    <n v="218"/>
    <n v="323"/>
    <n v="348"/>
    <s v="2.22"/>
    <s v="3.45"/>
    <s v="3.8"/>
    <s v=""/>
    <s v=""/>
    <s v=""/>
  </r>
  <r>
    <s v="Brazil"/>
    <s v="Serie A"/>
    <n v="2024"/>
    <x v="72"/>
    <d v="1899-12-30T23:30:00"/>
    <x v="0"/>
    <s v="Bragantino"/>
    <n v="1"/>
    <n v="0"/>
    <x v="1"/>
    <n v="243"/>
    <n v="32"/>
    <n v="323"/>
    <n v="247"/>
    <n v="338"/>
    <n v="33"/>
    <n v="238"/>
    <n v="319"/>
    <n v="312"/>
    <s v="2.44"/>
    <s v="3.4"/>
    <s v="3.35"/>
    <s v=""/>
    <s v=""/>
    <s v=""/>
  </r>
  <r>
    <s v="Brazil"/>
    <s v="Serie A"/>
    <n v="2024"/>
    <x v="72"/>
    <d v="1899-12-30T23:30:00"/>
    <x v="8"/>
    <s v="Internacional"/>
    <n v="0"/>
    <n v="0"/>
    <x v="0"/>
    <n v="229"/>
    <n v="32"/>
    <n v="352"/>
    <n v="235"/>
    <n v="332"/>
    <n v="356"/>
    <n v="226"/>
    <n v="313"/>
    <n v="34"/>
    <s v="2.32"/>
    <s v="3.25"/>
    <s v="3.75"/>
    <s v=""/>
    <s v=""/>
    <s v=""/>
  </r>
  <r>
    <s v="Brazil"/>
    <s v="Serie A"/>
    <n v="2024"/>
    <x v="73"/>
    <d v="1899-12-30T22:30:00"/>
    <x v="19"/>
    <s v="Criciuma"/>
    <n v="2"/>
    <n v="1"/>
    <x v="1"/>
    <n v="202"/>
    <n v="331"/>
    <n v="419"/>
    <n v="205"/>
    <n v="334"/>
    <n v="429"/>
    <n v="2"/>
    <n v="325"/>
    <n v="402"/>
    <s v="2.08"/>
    <s v="3.4"/>
    <s v="4.3"/>
    <s v=""/>
    <s v=""/>
    <s v=""/>
  </r>
  <r>
    <s v="Brazil"/>
    <s v="Serie A"/>
    <n v="2024"/>
    <x v="74"/>
    <d v="1899-12-30T01:00:00"/>
    <x v="18"/>
    <s v="Fortaleza"/>
    <n v="2"/>
    <n v="0"/>
    <x v="1"/>
    <n v="158"/>
    <n v="418"/>
    <n v="607"/>
    <n v="17"/>
    <n v="421"/>
    <n v="607"/>
    <n v="159"/>
    <n v="397"/>
    <n v="571"/>
    <s v="1.6"/>
    <s v="4.3"/>
    <s v="6.6"/>
    <s v=""/>
    <s v=""/>
    <s v=""/>
  </r>
  <r>
    <s v="Brazil"/>
    <s v="Serie A"/>
    <n v="2024"/>
    <x v="74"/>
    <d v="1899-12-30T15:00:00"/>
    <x v="8"/>
    <s v="Atletico GO"/>
    <n v="3"/>
    <n v="1"/>
    <x v="1"/>
    <n v="171"/>
    <n v="351"/>
    <n v="596"/>
    <n v="171"/>
    <n v="37"/>
    <n v="65"/>
    <n v="164"/>
    <n v="358"/>
    <n v="605"/>
    <s v="1.69"/>
    <s v="3.7"/>
    <s v="6.8"/>
    <s v=""/>
    <s v=""/>
    <s v=""/>
  </r>
  <r>
    <s v="Brazil"/>
    <s v="Serie A"/>
    <n v="2024"/>
    <x v="74"/>
    <d v="1899-12-30T15:00:00"/>
    <x v="12"/>
    <s v="Atletico-MG"/>
    <n v="2"/>
    <n v="3"/>
    <x v="2"/>
    <n v="221"/>
    <n v="302"/>
    <n v="401"/>
    <n v="224"/>
    <n v="31"/>
    <n v="411"/>
    <n v="217"/>
    <n v="301"/>
    <n v="38"/>
    <s v="2.26"/>
    <s v="3.15"/>
    <s v="4"/>
    <s v=""/>
    <s v=""/>
    <s v=""/>
  </r>
  <r>
    <s v="Brazil"/>
    <s v="Serie A"/>
    <n v="2024"/>
    <x v="74"/>
    <d v="1899-12-30T20:00:00"/>
    <x v="6"/>
    <s v="Flamengo RJ"/>
    <n v="2"/>
    <n v="1"/>
    <x v="1"/>
    <n v="256"/>
    <n v="302"/>
    <n v="321"/>
    <n v="257"/>
    <n v="305"/>
    <n v="324"/>
    <n v="252"/>
    <n v="296"/>
    <n v="309"/>
    <s v="2.64"/>
    <s v="3.05"/>
    <s v="3.35"/>
    <s v=""/>
    <s v=""/>
    <s v=""/>
  </r>
  <r>
    <s v="Brazil"/>
    <s v="Serie A"/>
    <n v="2024"/>
    <x v="74"/>
    <d v="1899-12-30T22:30:00"/>
    <x v="4"/>
    <s v="Palmeiras"/>
    <n v="0"/>
    <n v="2"/>
    <x v="2"/>
    <n v="381"/>
    <n v="358"/>
    <n v="203"/>
    <n v="382"/>
    <n v="367"/>
    <n v="223"/>
    <n v="359"/>
    <n v="347"/>
    <n v="204"/>
    <s v="3.95"/>
    <s v="3.65"/>
    <s v="2.1"/>
    <s v=""/>
    <s v=""/>
    <s v=""/>
  </r>
  <r>
    <s v="Brazil"/>
    <s v="Serie A"/>
    <n v="2024"/>
    <x v="74"/>
    <d v="1899-12-30T22:30:00"/>
    <x v="11"/>
    <s v="Bahia"/>
    <n v="2"/>
    <n v="1"/>
    <x v="1"/>
    <n v="235"/>
    <n v="345"/>
    <n v="315"/>
    <n v="237"/>
    <n v="35"/>
    <n v="323"/>
    <n v="23"/>
    <n v="335"/>
    <n v="308"/>
    <s v="2.4"/>
    <s v="3.55"/>
    <s v="3.2"/>
    <s v=""/>
    <s v=""/>
    <s v=""/>
  </r>
  <r>
    <s v="Brazil"/>
    <s v="Serie A"/>
    <n v="2024"/>
    <x v="74"/>
    <d v="1899-12-30T22:30:00"/>
    <x v="2"/>
    <s v="Sao Paulo"/>
    <n v="2"/>
    <n v="0"/>
    <x v="1"/>
    <n v="234"/>
    <n v="296"/>
    <n v="374"/>
    <n v="25"/>
    <n v="296"/>
    <n v="381"/>
    <n v="236"/>
    <n v="288"/>
    <n v="35"/>
    <s v="2.44"/>
    <s v="3.05"/>
    <s v="3.8"/>
    <s v=""/>
    <s v=""/>
    <s v=""/>
  </r>
  <r>
    <s v="Brazil"/>
    <s v="Serie A"/>
    <n v="2024"/>
    <x v="74"/>
    <d v="1899-12-30T22:30:00"/>
    <x v="15"/>
    <s v="Internacional"/>
    <n v="1"/>
    <n v="3"/>
    <x v="2"/>
    <n v="362"/>
    <n v="325"/>
    <n v="222"/>
    <n v="362"/>
    <n v="336"/>
    <n v="227"/>
    <n v="343"/>
    <n v="321"/>
    <n v="22"/>
    <s v="3.8"/>
    <s v="3.35"/>
    <s v="2.24"/>
    <s v=""/>
    <s v=""/>
    <s v=""/>
  </r>
  <r>
    <s v="Brazil"/>
    <s v="Serie A"/>
    <n v="2024"/>
    <x v="74"/>
    <d v="1899-12-30T22:30:00"/>
    <x v="9"/>
    <s v="Vasco"/>
    <n v="0"/>
    <n v="1"/>
    <x v="2"/>
    <n v="238"/>
    <n v="312"/>
    <n v="343"/>
    <n v="239"/>
    <n v="321"/>
    <n v="343"/>
    <n v="23"/>
    <n v="313"/>
    <n v="328"/>
    <s v="2.44"/>
    <s v="3.2"/>
    <s v="3.5"/>
    <s v=""/>
    <s v=""/>
    <s v=""/>
  </r>
  <r>
    <s v="Brazil"/>
    <s v="Serie A"/>
    <n v="2024"/>
    <x v="75"/>
    <d v="1899-12-30T00:00:00"/>
    <x v="19"/>
    <s v="Juventude"/>
    <n v="0"/>
    <n v="0"/>
    <x v="0"/>
    <n v="217"/>
    <n v="334"/>
    <n v="365"/>
    <n v="22"/>
    <n v="34"/>
    <n v="377"/>
    <n v="211"/>
    <n v="329"/>
    <n v="362"/>
    <s v="2.22"/>
    <s v="3.35"/>
    <s v="3.9"/>
    <s v=""/>
    <s v=""/>
    <s v=""/>
  </r>
  <r>
    <s v="Brazil"/>
    <s v="Serie A"/>
    <n v="2024"/>
    <x v="76"/>
    <d v="1899-12-30T23:00:00"/>
    <x v="1"/>
    <s v="Fortaleza"/>
    <n v="2"/>
    <n v="1"/>
    <x v="1"/>
    <n v="2"/>
    <n v="336"/>
    <n v="412"/>
    <n v="206"/>
    <n v="342"/>
    <n v="43"/>
    <n v="2"/>
    <n v="33"/>
    <n v="397"/>
    <s v="2.04"/>
    <s v="3.45"/>
    <s v="4.5"/>
    <s v=""/>
    <s v=""/>
    <s v=""/>
  </r>
  <r>
    <s v="Brazil"/>
    <s v="Serie A"/>
    <n v="2024"/>
    <x v="77"/>
    <d v="1899-12-30T20:00:00"/>
    <x v="5"/>
    <s v="Vitoria"/>
    <n v="0"/>
    <n v="2"/>
    <x v="2"/>
    <n v="198"/>
    <n v="335"/>
    <n v="432"/>
    <n v="201"/>
    <n v="345"/>
    <n v="432"/>
    <n v="196"/>
    <n v="33"/>
    <n v="409"/>
    <s v="2"/>
    <s v="3.5"/>
    <s v="4.5"/>
    <s v=""/>
    <s v=""/>
    <s v=""/>
  </r>
  <r>
    <s v="Brazil"/>
    <s v="Serie A"/>
    <n v="2024"/>
    <x v="77"/>
    <d v="1899-12-30T22:30:00"/>
    <x v="4"/>
    <s v="Fortaleza"/>
    <n v="1"/>
    <n v="1"/>
    <x v="0"/>
    <n v="191"/>
    <n v="365"/>
    <n v="423"/>
    <n v="205"/>
    <n v="379"/>
    <n v="425"/>
    <n v="19"/>
    <n v="358"/>
    <n v="399"/>
    <s v="1.98"/>
    <s v="3.65"/>
    <s v="4.5"/>
    <s v=""/>
    <s v=""/>
    <s v=""/>
  </r>
  <r>
    <s v="Brazil"/>
    <s v="Serie A"/>
    <n v="2024"/>
    <x v="78"/>
    <d v="1899-12-30T01:00:00"/>
    <x v="18"/>
    <s v="Corinthians"/>
    <n v="2"/>
    <n v="1"/>
    <x v="1"/>
    <n v="161"/>
    <n v="395"/>
    <n v="617"/>
    <n v="163"/>
    <n v="4"/>
    <n v="65"/>
    <n v="159"/>
    <n v="386"/>
    <n v="589"/>
    <s v="1.66"/>
    <s v="4"/>
    <s v="6.6"/>
    <s v=""/>
    <s v=""/>
    <s v=""/>
  </r>
  <r>
    <s v="Brazil"/>
    <s v="Serie A"/>
    <n v="2024"/>
    <x v="78"/>
    <d v="1899-12-30T20:00:00"/>
    <x v="11"/>
    <s v="Gremio"/>
    <n v="2"/>
    <n v="2"/>
    <x v="0"/>
    <n v="256"/>
    <n v="337"/>
    <n v="289"/>
    <n v="256"/>
    <n v="36"/>
    <n v="3"/>
    <n v="243"/>
    <n v="334"/>
    <n v="288"/>
    <s v="2.6"/>
    <s v="3.5"/>
    <s v="2.98"/>
    <s v=""/>
    <s v=""/>
    <s v=""/>
  </r>
  <r>
    <s v="Brazil"/>
    <s v="Serie A"/>
    <n v="2024"/>
    <x v="78"/>
    <d v="1899-12-30T20:00:00"/>
    <x v="15"/>
    <s v="Fluminense"/>
    <n v="2"/>
    <n v="1"/>
    <x v="1"/>
    <n v="304"/>
    <n v="323"/>
    <n v="254"/>
    <n v="306"/>
    <n v="355"/>
    <n v="254"/>
    <n v="295"/>
    <n v="32"/>
    <n v="246"/>
    <s v="3.15"/>
    <s v="3.3"/>
    <s v="2.6"/>
    <s v=""/>
    <s v=""/>
    <s v=""/>
  </r>
  <r>
    <s v="Brazil"/>
    <s v="Serie A"/>
    <n v="2024"/>
    <x v="78"/>
    <d v="1899-12-30T20:00:00"/>
    <x v="16"/>
    <s v="Criciuma"/>
    <n v="5"/>
    <n v="0"/>
    <x v="1"/>
    <n v="128"/>
    <n v="587"/>
    <n v="1148"/>
    <n v="131"/>
    <n v="61"/>
    <n v="12"/>
    <n v="128"/>
    <n v="556"/>
    <n v="1048"/>
    <s v="1.28"/>
    <s v="6.6"/>
    <s v="14"/>
    <s v=""/>
    <s v=""/>
    <s v=""/>
  </r>
  <r>
    <s v="Brazil"/>
    <s v="Serie A"/>
    <n v="2024"/>
    <x v="78"/>
    <d v="1899-12-30T22:30:00"/>
    <x v="10"/>
    <s v="Atletico-MG"/>
    <n v="3"/>
    <n v="0"/>
    <x v="1"/>
    <n v="195"/>
    <n v="349"/>
    <n v="424"/>
    <n v="198"/>
    <n v="365"/>
    <n v="424"/>
    <n v="193"/>
    <n v="346"/>
    <n v="399"/>
    <s v="2"/>
    <s v="3.55"/>
    <s v="4.5"/>
    <s v=""/>
    <s v=""/>
    <s v=""/>
  </r>
  <r>
    <s v="Brazil"/>
    <s v="Serie A"/>
    <n v="2024"/>
    <x v="78"/>
    <d v="1899-12-30T22:30:00"/>
    <x v="8"/>
    <s v="Sao Paulo"/>
    <n v="0"/>
    <n v="1"/>
    <x v="2"/>
    <n v="185"/>
    <n v="326"/>
    <n v="527"/>
    <n v="187"/>
    <n v="34"/>
    <n v="531"/>
    <n v="184"/>
    <n v="322"/>
    <n v="494"/>
    <s v="1.92"/>
    <s v="3.3"/>
    <s v="5.6"/>
    <s v=""/>
    <s v=""/>
    <s v=""/>
  </r>
  <r>
    <s v="Brazil"/>
    <s v="Serie A"/>
    <n v="2024"/>
    <x v="78"/>
    <d v="1899-12-30T22:30:00"/>
    <x v="17"/>
    <s v="Vasco"/>
    <n v="1"/>
    <n v="1"/>
    <x v="0"/>
    <n v="176"/>
    <n v="363"/>
    <n v="516"/>
    <n v="176"/>
    <n v="375"/>
    <n v="557"/>
    <n v="171"/>
    <n v="364"/>
    <n v="5"/>
    <s v="1.81"/>
    <s v="3.65"/>
    <s v="5.5"/>
    <s v=""/>
    <s v=""/>
    <s v=""/>
  </r>
  <r>
    <s v="Brazil"/>
    <s v="Serie A"/>
    <n v="2024"/>
    <x v="79"/>
    <d v="1899-12-30T00:00:00"/>
    <x v="1"/>
    <s v="Cuiaba"/>
    <n v="3"/>
    <n v="0"/>
    <x v="1"/>
    <n v="149"/>
    <n v="418"/>
    <n v="812"/>
    <n v="151"/>
    <n v="43"/>
    <n v="87"/>
    <n v="145"/>
    <n v="402"/>
    <n v="806"/>
    <s v="1.47"/>
    <s v="4.4"/>
    <s v="10"/>
    <s v=""/>
    <s v=""/>
    <s v=""/>
  </r>
  <r>
    <s v="Brazil"/>
    <s v="Serie A"/>
    <n v="2024"/>
    <x v="80"/>
    <d v="1899-12-30T20:00:00"/>
    <x v="6"/>
    <s v="Atletico GO"/>
    <n v="3"/>
    <n v="0"/>
    <x v="1"/>
    <n v="159"/>
    <n v="395"/>
    <n v="644"/>
    <n v="162"/>
    <n v="4"/>
    <n v="66"/>
    <n v="158"/>
    <n v="383"/>
    <n v="613"/>
    <s v="1.63"/>
    <s v="4.1"/>
    <s v="6.6"/>
    <s v=""/>
    <s v=""/>
    <s v=""/>
  </r>
  <r>
    <s v="Brazil"/>
    <s v="Serie A"/>
    <n v="2024"/>
    <x v="80"/>
    <d v="1899-12-30T20:00:00"/>
    <x v="9"/>
    <s v="Juventude"/>
    <n v="1"/>
    <n v="0"/>
    <x v="1"/>
    <n v="206"/>
    <n v="325"/>
    <n v="413"/>
    <n v="209"/>
    <n v="35"/>
    <n v="413"/>
    <n v="201"/>
    <n v="325"/>
    <n v="397"/>
    <s v="2.12"/>
    <s v="3.4"/>
    <s v="4.2"/>
    <s v=""/>
    <s v=""/>
    <s v=""/>
  </r>
  <r>
    <s v="Brazil"/>
    <s v="Serie A"/>
    <n v="2024"/>
    <x v="80"/>
    <d v="1899-12-30T22:30:00"/>
    <x v="2"/>
    <s v="Botafogo RJ"/>
    <n v="0"/>
    <n v="1"/>
    <x v="2"/>
    <n v="353"/>
    <n v="318"/>
    <n v="23"/>
    <n v="363"/>
    <n v="328"/>
    <n v="235"/>
    <n v="341"/>
    <n v="313"/>
    <n v="225"/>
    <s v="3.6"/>
    <s v="3.3"/>
    <s v="2.34"/>
    <s v=""/>
    <s v=""/>
    <s v=""/>
  </r>
  <r>
    <s v="Brazil"/>
    <s v="Serie A"/>
    <n v="2024"/>
    <x v="81"/>
    <d v="1899-12-30T01:00:00"/>
    <x v="14"/>
    <s v="Bahia"/>
    <n v="4"/>
    <n v="1"/>
    <x v="1"/>
    <n v="266"/>
    <n v="326"/>
    <n v="286"/>
    <n v="266"/>
    <n v="335"/>
    <n v="295"/>
    <n v="259"/>
    <n v="32"/>
    <n v="279"/>
    <s v="2.74"/>
    <s v="3.25"/>
    <s v="2.98"/>
    <s v=""/>
    <s v=""/>
    <s v=""/>
  </r>
  <r>
    <s v="Brazil"/>
    <s v="Serie A"/>
    <n v="2024"/>
    <x v="81"/>
    <d v="1899-12-30T20:00:00"/>
    <x v="13"/>
    <s v="Bragantino"/>
    <n v="3"/>
    <n v="0"/>
    <x v="1"/>
    <n v="218"/>
    <n v="334"/>
    <n v="363"/>
    <n v="227"/>
    <n v="346"/>
    <n v="363"/>
    <n v="218"/>
    <n v="328"/>
    <n v="342"/>
    <s v="2.26"/>
    <s v="3.35"/>
    <s v="3.85"/>
    <s v=""/>
    <s v=""/>
    <s v=""/>
  </r>
  <r>
    <s v="Brazil"/>
    <s v="Serie A"/>
    <n v="2024"/>
    <x v="81"/>
    <d v="1899-12-30T20:00:00"/>
    <x v="7"/>
    <s v="Palmeiras"/>
    <n v="0"/>
    <n v="1"/>
    <x v="2"/>
    <n v="438"/>
    <n v="388"/>
    <n v="182"/>
    <n v="44"/>
    <n v="394"/>
    <n v="182"/>
    <n v="423"/>
    <n v="378"/>
    <n v="18"/>
    <s v="4.7"/>
    <s v="3.85"/>
    <s v="1.86"/>
    <s v=""/>
    <s v=""/>
    <s v=""/>
  </r>
  <r>
    <s v="Brazil"/>
    <s v="Serie A"/>
    <n v="2024"/>
    <x v="81"/>
    <d v="1899-12-30T22:30:00"/>
    <x v="19"/>
    <s v="Cruzeiro"/>
    <n v="0"/>
    <n v="0"/>
    <x v="0"/>
    <n v="286"/>
    <n v="287"/>
    <n v="299"/>
    <n v="293"/>
    <n v="295"/>
    <n v="299"/>
    <n v="28"/>
    <n v="287"/>
    <n v="284"/>
    <s v="2.92"/>
    <s v="2.96"/>
    <s v="3.05"/>
    <s v=""/>
    <s v=""/>
    <s v=""/>
  </r>
  <r>
    <s v="Brazil"/>
    <s v="Serie A"/>
    <n v="2024"/>
    <x v="81"/>
    <d v="1899-12-30T22:30:00"/>
    <x v="12"/>
    <s v="Flamengo RJ"/>
    <n v="3"/>
    <n v="2"/>
    <x v="1"/>
    <n v="183"/>
    <n v="366"/>
    <n v="454"/>
    <n v="187"/>
    <n v="373"/>
    <n v="46"/>
    <n v="181"/>
    <n v="357"/>
    <n v="44"/>
    <s v="1.85"/>
    <s v="3.75"/>
    <s v="5.1"/>
    <s v=""/>
    <s v=""/>
    <s v=""/>
  </r>
  <r>
    <s v="Brazil"/>
    <s v="Serie A"/>
    <n v="2024"/>
    <x v="81"/>
    <d v="1899-12-30T22:30:00"/>
    <x v="3"/>
    <s v="Internacional"/>
    <n v="1"/>
    <n v="3"/>
    <x v="2"/>
    <n v="291"/>
    <n v="294"/>
    <n v="287"/>
    <n v="292"/>
    <n v="295"/>
    <n v="294"/>
    <n v="284"/>
    <n v="287"/>
    <n v="28"/>
    <s v="2.96"/>
    <s v="3"/>
    <s v="3"/>
    <s v=""/>
    <s v=""/>
    <s v=""/>
  </r>
  <r>
    <s v="Brazil"/>
    <s v="Serie A"/>
    <n v="2024"/>
    <x v="82"/>
    <d v="1899-12-30T00:00:00"/>
    <x v="0"/>
    <s v="Athletico-PR"/>
    <n v="0"/>
    <n v="0"/>
    <x v="0"/>
    <n v="225"/>
    <n v="337"/>
    <n v="342"/>
    <n v="232"/>
    <n v="35"/>
    <n v="342"/>
    <n v="222"/>
    <n v="331"/>
    <n v="328"/>
    <s v="2.28"/>
    <s v="3.45"/>
    <s v="3.6"/>
    <s v=""/>
    <s v=""/>
    <s v=""/>
  </r>
  <r>
    <s v="Brazil"/>
    <s v="Serie A"/>
    <n v="2024"/>
    <x v="83"/>
    <d v="1899-12-30T23:00:00"/>
    <x v="11"/>
    <s v="Internacional"/>
    <n v="2"/>
    <n v="2"/>
    <x v="0"/>
    <n v="333"/>
    <n v="331"/>
    <n v="232"/>
    <n v="339"/>
    <n v="338"/>
    <n v="243"/>
    <n v="32"/>
    <n v="324"/>
    <n v="231"/>
    <s v="3.35"/>
    <s v="3.4"/>
    <s v="2.42"/>
    <s v=""/>
    <s v=""/>
    <s v=""/>
  </r>
  <r>
    <s v="Brazil"/>
    <s v="Serie A"/>
    <n v="2024"/>
    <x v="83"/>
    <d v="1899-12-30T23:00:00"/>
    <x v="12"/>
    <s v="Criciuma"/>
    <n v="1"/>
    <n v="2"/>
    <x v="2"/>
    <n v="172"/>
    <n v="39"/>
    <n v="499"/>
    <n v="174"/>
    <n v="405"/>
    <n v="51"/>
    <n v="169"/>
    <n v="381"/>
    <n v="488"/>
    <s v="1.75"/>
    <s v="4"/>
    <s v="5.5"/>
    <s v=""/>
    <s v=""/>
    <s v=""/>
  </r>
  <r>
    <s v="Brazil"/>
    <s v="Serie A"/>
    <n v="2024"/>
    <x v="84"/>
    <d v="1899-12-30T22:30:00"/>
    <x v="16"/>
    <s v="Atletico-MG"/>
    <n v="2"/>
    <n v="1"/>
    <x v="1"/>
    <n v="173"/>
    <n v="374"/>
    <n v="523"/>
    <n v="175"/>
    <n v="38"/>
    <n v="55"/>
    <n v="17"/>
    <n v="365"/>
    <n v="514"/>
    <s v="1.77"/>
    <s v="3.75"/>
    <s v="5.8"/>
    <s v=""/>
    <s v=""/>
    <s v=""/>
  </r>
  <r>
    <s v="Brazil"/>
    <s v="Serie A"/>
    <n v="2024"/>
    <x v="85"/>
    <d v="1899-12-30T01:00:00"/>
    <x v="18"/>
    <s v="Gremio"/>
    <n v="0"/>
    <n v="0"/>
    <x v="0"/>
    <n v="171"/>
    <n v="396"/>
    <n v="503"/>
    <n v="171"/>
    <n v="41"/>
    <n v="52"/>
    <n v="167"/>
    <n v="389"/>
    <n v="489"/>
    <s v="1.74"/>
    <s v="4"/>
    <s v="5.6"/>
    <s v=""/>
    <s v=""/>
    <s v=""/>
  </r>
  <r>
    <s v="Brazil"/>
    <s v="Serie A"/>
    <n v="2024"/>
    <x v="85"/>
    <d v="1899-12-30T15:00:00"/>
    <x v="15"/>
    <s v="Bragantino"/>
    <n v="1"/>
    <n v="1"/>
    <x v="0"/>
    <n v="268"/>
    <n v="323"/>
    <n v="286"/>
    <n v="268"/>
    <n v="325"/>
    <n v="3"/>
    <n v="258"/>
    <n v="315"/>
    <n v="283"/>
    <s v="2.68"/>
    <s v="3.35"/>
    <s v="2.98"/>
    <s v=""/>
    <s v=""/>
    <s v=""/>
  </r>
  <r>
    <s v="Brazil"/>
    <s v="Serie A"/>
    <n v="2024"/>
    <x v="85"/>
    <d v="1899-12-30T20:00:00"/>
    <x v="5"/>
    <s v="Fluminense"/>
    <n v="1"/>
    <n v="0"/>
    <x v="1"/>
    <n v="243"/>
    <n v="319"/>
    <n v="324"/>
    <n v="27"/>
    <n v="326"/>
    <n v="324"/>
    <n v="249"/>
    <n v="311"/>
    <n v="299"/>
    <s v="2.62"/>
    <s v="3.2"/>
    <s v="3.25"/>
    <s v=""/>
    <s v=""/>
    <s v=""/>
  </r>
  <r>
    <s v="Brazil"/>
    <s v="Serie A"/>
    <n v="2024"/>
    <x v="85"/>
    <d v="1899-12-30T20:00:00"/>
    <x v="14"/>
    <s v="Cuiaba"/>
    <n v="1"/>
    <n v="0"/>
    <x v="1"/>
    <n v="174"/>
    <n v="356"/>
    <n v="558"/>
    <n v="177"/>
    <n v="378"/>
    <n v="58"/>
    <n v="172"/>
    <n v="354"/>
    <n v="52"/>
    <s v="1.77"/>
    <s v="3.7"/>
    <s v="5.9"/>
    <s v=""/>
    <s v=""/>
    <s v=""/>
  </r>
  <r>
    <s v="Brazil"/>
    <s v="Serie A"/>
    <n v="2024"/>
    <x v="85"/>
    <d v="1899-12-30T20:00:00"/>
    <x v="3"/>
    <s v="Corinthians"/>
    <n v="3"/>
    <n v="1"/>
    <x v="1"/>
    <n v="267"/>
    <n v="297"/>
    <n v="311"/>
    <n v="267"/>
    <n v="297"/>
    <n v="32"/>
    <n v="259"/>
    <n v="29"/>
    <n v="308"/>
    <s v="2.72"/>
    <s v="3"/>
    <s v="3.3"/>
    <s v=""/>
    <s v=""/>
    <s v=""/>
  </r>
  <r>
    <s v="Brazil"/>
    <s v="Serie A"/>
    <n v="2024"/>
    <x v="85"/>
    <d v="1899-12-30T22:30:00"/>
    <x v="10"/>
    <s v="Criciuma"/>
    <n v="1"/>
    <n v="0"/>
    <x v="1"/>
    <n v="164"/>
    <n v="417"/>
    <n v="535"/>
    <n v="165"/>
    <n v="425"/>
    <n v="6"/>
    <n v="161"/>
    <n v="402"/>
    <n v="526"/>
    <s v="1.66"/>
    <s v="4.2"/>
    <s v="6"/>
    <s v=""/>
    <s v=""/>
    <s v=""/>
  </r>
  <r>
    <s v="Brazil"/>
    <s v="Serie A"/>
    <n v="2024"/>
    <x v="85"/>
    <d v="1899-12-30T22:30:00"/>
    <x v="8"/>
    <s v="Vasco"/>
    <n v="1"/>
    <n v="1"/>
    <x v="0"/>
    <n v="183"/>
    <n v="36"/>
    <n v="47"/>
    <n v="187"/>
    <n v="36"/>
    <n v="51"/>
    <n v="178"/>
    <n v="351"/>
    <n v="469"/>
    <s v="1.85"/>
    <s v="3.7"/>
    <s v="5.1"/>
    <s v=""/>
    <s v=""/>
    <s v=""/>
  </r>
  <r>
    <s v="Brazil"/>
    <s v="Serie A"/>
    <n v="2024"/>
    <x v="85"/>
    <d v="1899-12-30T22:30:00"/>
    <x v="1"/>
    <s v="Vitoria"/>
    <n v="3"/>
    <n v="1"/>
    <x v="1"/>
    <n v="139"/>
    <n v="491"/>
    <n v="862"/>
    <n v="141"/>
    <n v="51"/>
    <n v="9"/>
    <n v="138"/>
    <n v="474"/>
    <n v="825"/>
    <s v="1.4"/>
    <s v="5.1"/>
    <s v="10.5"/>
    <s v=""/>
    <s v=""/>
    <s v=""/>
  </r>
  <r>
    <s v="Brazil"/>
    <s v="Serie A"/>
    <n v="2024"/>
    <x v="86"/>
    <d v="1899-12-30T00:00:00"/>
    <x v="17"/>
    <s v="Athletico-PR"/>
    <n v="1"/>
    <n v="0"/>
    <x v="1"/>
    <n v="169"/>
    <n v="387"/>
    <n v="53"/>
    <n v="172"/>
    <n v="388"/>
    <n v="558"/>
    <n v="167"/>
    <n v="376"/>
    <n v="514"/>
    <s v="1.7"/>
    <s v="3.95"/>
    <s v="6"/>
    <s v=""/>
    <s v=""/>
    <s v=""/>
  </r>
  <r>
    <s v="Brazil"/>
    <s v="Serie A"/>
    <n v="2024"/>
    <x v="87"/>
    <d v="1899-12-30T23:00:00"/>
    <x v="0"/>
    <s v="Atletico GO"/>
    <n v="2"/>
    <n v="0"/>
    <x v="1"/>
    <n v="187"/>
    <n v="368"/>
    <n v="438"/>
    <n v="19"/>
    <n v="373"/>
    <n v="47"/>
    <n v="185"/>
    <n v="357"/>
    <n v="426"/>
    <s v="1.9"/>
    <s v="3.7"/>
    <s v="4.8"/>
    <s v=""/>
    <s v=""/>
    <s v=""/>
  </r>
  <r>
    <s v="Brazil"/>
    <s v="Serie A"/>
    <n v="2024"/>
    <x v="88"/>
    <d v="1899-12-30T01:30:00"/>
    <x v="2"/>
    <s v="Cruzeiro"/>
    <n v="1"/>
    <n v="0"/>
    <x v="1"/>
    <n v="251"/>
    <n v="305"/>
    <n v="326"/>
    <n v="251"/>
    <n v="315"/>
    <n v="34"/>
    <n v="243"/>
    <n v="299"/>
    <n v="321"/>
    <s v="2.58"/>
    <s v="3.1"/>
    <s v="3.35"/>
    <s v=""/>
    <s v=""/>
    <s v=""/>
  </r>
  <r>
    <s v="Brazil"/>
    <s v="Serie A"/>
    <n v="2024"/>
    <x v="89"/>
    <d v="1899-12-30T01:30:00"/>
    <x v="12"/>
    <s v="Fortaleza"/>
    <n v="3"/>
    <n v="1"/>
    <x v="1"/>
    <n v="215"/>
    <n v="339"/>
    <n v="366"/>
    <n v="218"/>
    <n v="35"/>
    <n v="366"/>
    <n v="212"/>
    <n v="335"/>
    <n v="349"/>
    <s v="2.18"/>
    <s v="3.45"/>
    <s v="3.85"/>
    <s v=""/>
    <s v=""/>
    <s v=""/>
  </r>
  <r>
    <s v="Brazil"/>
    <s v="Serie A"/>
    <n v="2024"/>
    <x v="89"/>
    <d v="1899-12-30T20:30:00"/>
    <x v="4"/>
    <s v="Botafogo RJ"/>
    <n v="0"/>
    <n v="1"/>
    <x v="2"/>
    <n v="327"/>
    <n v="352"/>
    <n v="225"/>
    <n v="33"/>
    <n v="37"/>
    <n v="225"/>
    <n v="318"/>
    <n v="344"/>
    <n v="221"/>
    <s v="3.35"/>
    <s v="3.55"/>
    <s v="2.36"/>
    <s v=""/>
    <s v=""/>
    <s v=""/>
  </r>
  <r>
    <s v="Brazil"/>
    <s v="Serie A"/>
    <n v="2024"/>
    <x v="89"/>
    <d v="1899-12-30T20:30:00"/>
    <x v="13"/>
    <s v="Vitoria"/>
    <n v="2"/>
    <n v="2"/>
    <x v="0"/>
    <n v="183"/>
    <n v="33"/>
    <n v="535"/>
    <n v="188"/>
    <n v="36"/>
    <n v="575"/>
    <n v="182"/>
    <n v="326"/>
    <n v="503"/>
    <s v="1.88"/>
    <s v="3.35"/>
    <s v="5.7"/>
    <s v=""/>
    <s v=""/>
    <s v=""/>
  </r>
  <r>
    <s v="Brazil"/>
    <s v="Serie A"/>
    <n v="2024"/>
    <x v="89"/>
    <d v="1899-12-30T20:30:00"/>
    <x v="11"/>
    <s v="Palmeiras"/>
    <n v="0"/>
    <n v="0"/>
    <x v="0"/>
    <n v="452"/>
    <n v="364"/>
    <n v="185"/>
    <n v="457"/>
    <n v="375"/>
    <n v="188"/>
    <n v="429"/>
    <n v="359"/>
    <n v="183"/>
    <s v="4.9"/>
    <s v="3.7"/>
    <s v="1.88"/>
    <s v=""/>
    <s v=""/>
    <s v=""/>
  </r>
  <r>
    <s v="Brazil"/>
    <s v="Serie A"/>
    <n v="2024"/>
    <x v="89"/>
    <d v="1899-12-30T23:00:00"/>
    <x v="10"/>
    <s v="Flamengo RJ"/>
    <n v="0"/>
    <n v="2"/>
    <x v="2"/>
    <n v="279"/>
    <n v="325"/>
    <n v="272"/>
    <n v="286"/>
    <n v="336"/>
    <n v="273"/>
    <n v="271"/>
    <n v="325"/>
    <n v="263"/>
    <s v="2.82"/>
    <s v="3.45"/>
    <s v="2.76"/>
    <s v=""/>
    <s v=""/>
    <s v=""/>
  </r>
  <r>
    <s v="Brazil"/>
    <s v="Serie A"/>
    <n v="2024"/>
    <x v="89"/>
    <d v="1899-12-30T23:00:00"/>
    <x v="6"/>
    <s v="Internacional"/>
    <n v="2"/>
    <n v="2"/>
    <x v="0"/>
    <n v="229"/>
    <n v="324"/>
    <n v="347"/>
    <n v="238"/>
    <n v="33"/>
    <n v="347"/>
    <n v="226"/>
    <n v="317"/>
    <n v="332"/>
    <s v="2.34"/>
    <s v="3.35"/>
    <s v="3.55"/>
    <s v=""/>
    <s v=""/>
    <s v=""/>
  </r>
  <r>
    <s v="Brazil"/>
    <s v="Serie A"/>
    <n v="2024"/>
    <x v="89"/>
    <d v="1899-12-30T23:00:00"/>
    <x v="19"/>
    <s v="Sao Paulo"/>
    <n v="2"/>
    <n v="0"/>
    <x v="1"/>
    <n v="389"/>
    <n v="282"/>
    <n v="237"/>
    <n v="389"/>
    <n v="292"/>
    <n v="25"/>
    <n v="369"/>
    <n v="278"/>
    <n v="235"/>
    <s v="3.9"/>
    <s v="2.94"/>
    <s v="2.46"/>
    <s v=""/>
    <s v=""/>
    <s v=""/>
  </r>
  <r>
    <s v="Brazil"/>
    <s v="Serie A"/>
    <n v="2024"/>
    <x v="90"/>
    <d v="1899-12-30T01:00:00"/>
    <x v="7"/>
    <s v="Juventude"/>
    <n v="1"/>
    <n v="1"/>
    <x v="0"/>
    <n v="176"/>
    <n v="372"/>
    <n v="504"/>
    <n v="178"/>
    <n v="385"/>
    <n v="525"/>
    <n v="173"/>
    <n v="363"/>
    <n v="49"/>
    <s v="1.78"/>
    <s v="3.8"/>
    <s v="5.6"/>
    <s v=""/>
    <s v=""/>
    <s v=""/>
  </r>
  <r>
    <s v="Brazil"/>
    <s v="Serie A"/>
    <n v="2024"/>
    <x v="91"/>
    <d v="1899-12-30T23:30:00"/>
    <x v="13"/>
    <s v="Gremio"/>
    <n v="2"/>
    <n v="1"/>
    <x v="1"/>
    <n v="179"/>
    <n v="365"/>
    <n v="492"/>
    <n v="195"/>
    <n v="38"/>
    <n v="492"/>
    <n v="181"/>
    <n v="355"/>
    <n v="443"/>
    <s v="1.85"/>
    <s v="3.65"/>
    <s v="5.2"/>
    <s v=""/>
    <s v=""/>
    <s v=""/>
  </r>
  <r>
    <s v="Brazil"/>
    <s v="Serie A"/>
    <n v="2024"/>
    <x v="92"/>
    <d v="1899-12-30T01:45:00"/>
    <x v="14"/>
    <s v="Atletico-MG"/>
    <n v="1"/>
    <n v="1"/>
    <x v="0"/>
    <n v="172"/>
    <n v="355"/>
    <n v="57"/>
    <n v="178"/>
    <n v="36"/>
    <n v="6"/>
    <n v="171"/>
    <n v="35"/>
    <n v="548"/>
    <s v="1.78"/>
    <s v="3.7"/>
    <s v="5.9"/>
    <s v=""/>
    <s v=""/>
    <s v=""/>
  </r>
  <r>
    <s v="Brazil"/>
    <s v="Serie A"/>
    <n v="2024"/>
    <x v="92"/>
    <d v="1899-12-30T01:45:00"/>
    <x v="3"/>
    <s v="Vasco"/>
    <n v="3"/>
    <n v="0"/>
    <x v="1"/>
    <n v="181"/>
    <n v="354"/>
    <n v="495"/>
    <n v="188"/>
    <n v="36"/>
    <n v="5"/>
    <n v="18"/>
    <n v="348"/>
    <n v="47"/>
    <s v="1.87"/>
    <s v="3.65"/>
    <s v="5.1"/>
    <s v=""/>
    <s v=""/>
    <s v=""/>
  </r>
  <r>
    <s v="Brazil"/>
    <s v="Serie A"/>
    <n v="2024"/>
    <x v="93"/>
    <d v="1899-12-30T00:00:00"/>
    <x v="6"/>
    <s v="Athletico-PR"/>
    <n v="5"/>
    <n v="2"/>
    <x v="1"/>
    <n v="162"/>
    <n v="404"/>
    <n v="584"/>
    <n v="165"/>
    <n v="404"/>
    <n v="607"/>
    <n v="162"/>
    <n v="393"/>
    <n v="545"/>
    <s v="1.65"/>
    <s v="4.2"/>
    <s v="6.2"/>
    <s v=""/>
    <s v=""/>
    <s v=""/>
  </r>
  <r>
    <s v="Brazil"/>
    <s v="Serie A"/>
    <n v="2024"/>
    <x v="93"/>
    <d v="1899-12-30T00:00:00"/>
    <x v="17"/>
    <s v="Fluminense"/>
    <n v="0"/>
    <n v="2"/>
    <x v="2"/>
    <n v="174"/>
    <n v="34"/>
    <n v="59"/>
    <n v="179"/>
    <n v="34"/>
    <n v="635"/>
    <n v="172"/>
    <n v="334"/>
    <n v="569"/>
    <s v="1.81"/>
    <s v="3.45"/>
    <s v="6.2"/>
    <s v=""/>
    <s v=""/>
    <s v=""/>
  </r>
  <r>
    <s v="Brazil"/>
    <s v="Serie A"/>
    <n v="2024"/>
    <x v="93"/>
    <d v="1899-12-30T23:00:00"/>
    <x v="5"/>
    <s v="Cuiaba"/>
    <n v="0"/>
    <n v="0"/>
    <x v="0"/>
    <n v="223"/>
    <n v="315"/>
    <n v="374"/>
    <n v="228"/>
    <n v="325"/>
    <n v="395"/>
    <n v="218"/>
    <n v="31"/>
    <n v="365"/>
    <s v="2.24"/>
    <s v="3.25"/>
    <s v="4"/>
    <s v=""/>
    <s v=""/>
    <s v=""/>
  </r>
  <r>
    <s v="Brazil"/>
    <s v="Serie A"/>
    <n v="2024"/>
    <x v="94"/>
    <d v="1899-12-30T00:00:00"/>
    <x v="18"/>
    <s v="Criciuma"/>
    <n v="1"/>
    <n v="1"/>
    <x v="0"/>
    <n v="132"/>
    <n v="55"/>
    <n v="1042"/>
    <n v="136"/>
    <n v="557"/>
    <n v="1042"/>
    <n v="132"/>
    <n v="525"/>
    <n v="924"/>
    <s v="1.35"/>
    <s v="5.7"/>
    <s v="11"/>
    <s v=""/>
    <s v=""/>
    <s v=""/>
  </r>
  <r>
    <s v="Brazil"/>
    <s v="Serie A"/>
    <n v="2024"/>
    <x v="94"/>
    <d v="1899-12-30T01:30:00"/>
    <x v="8"/>
    <s v="Bahia"/>
    <n v="1"/>
    <n v="1"/>
    <x v="0"/>
    <n v="193"/>
    <n v="353"/>
    <n v="428"/>
    <n v="195"/>
    <n v="366"/>
    <n v="43"/>
    <n v="191"/>
    <n v="348"/>
    <n v="406"/>
    <s v="1.97"/>
    <s v="3.65"/>
    <s v="4.5"/>
    <s v=""/>
    <s v=""/>
    <s v=""/>
  </r>
  <r>
    <s v="Brazil"/>
    <s v="Serie A"/>
    <n v="2024"/>
    <x v="94"/>
    <d v="1899-12-30T20:00:00"/>
    <x v="1"/>
    <s v="Gremio"/>
    <n v="1"/>
    <n v="0"/>
    <x v="1"/>
    <n v="176"/>
    <n v="365"/>
    <n v="518"/>
    <n v="18"/>
    <n v="37"/>
    <n v="535"/>
    <n v="174"/>
    <n v="359"/>
    <n v="494"/>
    <s v="1.79"/>
    <s v="3.75"/>
    <s v="5.6"/>
    <s v=""/>
    <s v=""/>
    <s v=""/>
  </r>
  <r>
    <s v="Brazil"/>
    <s v="Serie A"/>
    <n v="2024"/>
    <x v="94"/>
    <d v="1899-12-30T20:00:00"/>
    <x v="9"/>
    <s v="Bragantino"/>
    <n v="1"/>
    <n v="0"/>
    <x v="1"/>
    <n v="225"/>
    <n v="315"/>
    <n v="368"/>
    <n v="231"/>
    <n v="33"/>
    <n v="368"/>
    <n v="222"/>
    <n v="312"/>
    <n v="349"/>
    <s v="2.32"/>
    <s v="3.25"/>
    <s v="3.65"/>
    <s v=""/>
    <s v=""/>
    <s v=""/>
  </r>
  <r>
    <s v="Brazil"/>
    <s v="Serie A"/>
    <n v="2024"/>
    <x v="95"/>
    <d v="1899-12-30T00:00:00"/>
    <x v="15"/>
    <s v="Palmeiras"/>
    <n v="3"/>
    <n v="5"/>
    <x v="2"/>
    <n v="537"/>
    <n v="395"/>
    <n v="168"/>
    <n v="563"/>
    <n v="395"/>
    <n v="171"/>
    <n v="513"/>
    <n v="38"/>
    <n v="166"/>
    <s v="5.7"/>
    <s v="4"/>
    <s v="1.72"/>
    <s v=""/>
    <s v=""/>
    <s v=""/>
  </r>
  <r>
    <s v="Brazil"/>
    <s v="Serie A"/>
    <n v="2024"/>
    <x v="96"/>
    <d v="1899-12-30T23:30:00"/>
    <x v="2"/>
    <s v="Athletico-PR"/>
    <n v="1"/>
    <n v="0"/>
    <x v="1"/>
    <n v="178"/>
    <n v="341"/>
    <n v="551"/>
    <n v="191"/>
    <n v="36"/>
    <n v="551"/>
    <n v="177"/>
    <n v="339"/>
    <n v="504"/>
    <s v="1.83"/>
    <s v="3.55"/>
    <s v="5.8"/>
    <s v=""/>
    <s v=""/>
    <s v=""/>
  </r>
  <r>
    <s v="Brazil"/>
    <s v="Serie A"/>
    <n v="2024"/>
    <x v="97"/>
    <d v="1899-12-30T23:00:00"/>
    <x v="7"/>
    <s v="Cuiaba"/>
    <n v="1"/>
    <n v="0"/>
    <x v="1"/>
    <n v="181"/>
    <n v="341"/>
    <n v="528"/>
    <n v="189"/>
    <n v="341"/>
    <n v="554"/>
    <n v="182"/>
    <n v="329"/>
    <n v="496"/>
    <s v="1.84"/>
    <s v="3.45"/>
    <s v="5.8"/>
    <s v=""/>
    <s v=""/>
    <s v=""/>
  </r>
  <r>
    <s v="Brazil"/>
    <s v="Serie A"/>
    <n v="2024"/>
    <x v="98"/>
    <d v="1899-12-30T20:30:00"/>
    <x v="17"/>
    <s v="Juventude"/>
    <n v="4"/>
    <n v="2"/>
    <x v="1"/>
    <n v="135"/>
    <n v="521"/>
    <n v="96"/>
    <n v="138"/>
    <n v="56"/>
    <n v="106"/>
    <n v="134"/>
    <n v="503"/>
    <n v="913"/>
    <s v="1.37"/>
    <s v="5.4"/>
    <s v="11"/>
    <s v=""/>
    <s v=""/>
    <s v=""/>
  </r>
  <r>
    <s v="Brazil"/>
    <s v="Serie A"/>
    <n v="2024"/>
    <x v="98"/>
    <d v="1899-12-30T20:30:00"/>
    <x v="12"/>
    <s v="Atletico GO"/>
    <n v="3"/>
    <n v="1"/>
    <x v="1"/>
    <n v="159"/>
    <n v="415"/>
    <n v="598"/>
    <n v="161"/>
    <n v="433"/>
    <n v="64"/>
    <n v="156"/>
    <n v="41"/>
    <n v="58"/>
    <s v="1.62"/>
    <s v="4.3"/>
    <s v="6.6"/>
    <s v=""/>
    <s v=""/>
    <s v=""/>
  </r>
  <r>
    <s v="Brazil"/>
    <s v="Serie A"/>
    <n v="2024"/>
    <x v="98"/>
    <d v="1899-12-30T20:30:00"/>
    <x v="16"/>
    <s v="Fortaleza"/>
    <n v="2"/>
    <n v="2"/>
    <x v="0"/>
    <n v="137"/>
    <n v="523"/>
    <n v="871"/>
    <n v="14"/>
    <n v="53"/>
    <n v="9"/>
    <n v="136"/>
    <n v="502"/>
    <n v="824"/>
    <s v="1.37"/>
    <s v="5.6"/>
    <s v="10.5"/>
    <s v=""/>
    <s v=""/>
    <s v=""/>
  </r>
  <r>
    <s v="Brazil"/>
    <s v="Serie A"/>
    <n v="2024"/>
    <x v="98"/>
    <d v="1899-12-30T20:30:00"/>
    <x v="9"/>
    <s v="Fluminense"/>
    <n v="2"/>
    <n v="1"/>
    <x v="1"/>
    <n v="246"/>
    <n v="296"/>
    <n v="346"/>
    <n v="255"/>
    <n v="296"/>
    <n v="347"/>
    <n v="243"/>
    <n v="291"/>
    <n v="333"/>
    <s v="2.56"/>
    <s v="3"/>
    <s v="3.55"/>
    <s v=""/>
    <s v=""/>
    <s v=""/>
  </r>
  <r>
    <s v="Brazil"/>
    <s v="Serie A"/>
    <n v="2024"/>
    <x v="98"/>
    <d v="1899-12-30T22:30:00"/>
    <x v="4"/>
    <s v="Cruzeiro"/>
    <n v="3"/>
    <n v="0"/>
    <x v="1"/>
    <n v="185"/>
    <n v="352"/>
    <n v="471"/>
    <n v="192"/>
    <n v="357"/>
    <n v="475"/>
    <n v="183"/>
    <n v="346"/>
    <n v="449"/>
    <s v="1.85"/>
    <s v="3.65"/>
    <s v="5.3"/>
    <s v=""/>
    <s v=""/>
    <s v=""/>
  </r>
  <r>
    <s v="Brazil"/>
    <s v="Serie A"/>
    <n v="2024"/>
    <x v="98"/>
    <d v="1899-12-30T23:00:00"/>
    <x v="13"/>
    <s v="Internacional"/>
    <n v="1"/>
    <n v="3"/>
    <x v="2"/>
    <n v="36"/>
    <n v="314"/>
    <n v="229"/>
    <n v="364"/>
    <n v="315"/>
    <n v="234"/>
    <n v="349"/>
    <n v="309"/>
    <n v="224"/>
    <s v="3.65"/>
    <s v="3.25"/>
    <s v="2.36"/>
    <s v=""/>
    <s v=""/>
    <s v=""/>
  </r>
  <r>
    <s v="Brazil"/>
    <s v="Serie A"/>
    <n v="2024"/>
    <x v="98"/>
    <d v="1899-12-30T23:00:00"/>
    <x v="11"/>
    <s v="Botafogo RJ"/>
    <n v="0"/>
    <n v="1"/>
    <x v="2"/>
    <n v="366"/>
    <n v="342"/>
    <n v="214"/>
    <n v="38"/>
    <n v="35"/>
    <n v="217"/>
    <n v="357"/>
    <n v="337"/>
    <n v="209"/>
    <s v="3.75"/>
    <s v="3.5"/>
    <s v="2.2"/>
    <s v=""/>
    <s v=""/>
    <s v=""/>
  </r>
  <r>
    <s v="Brazil"/>
    <s v="Serie A"/>
    <n v="2024"/>
    <x v="99"/>
    <d v="1899-12-30T01:00:00"/>
    <x v="0"/>
    <s v="Sao Paulo"/>
    <n v="1"/>
    <n v="1"/>
    <x v="0"/>
    <n v="333"/>
    <n v="31"/>
    <n v="243"/>
    <n v="325"/>
    <n v="309"/>
    <n v="245"/>
    <n v="317"/>
    <n v="303"/>
    <n v="24"/>
    <s v="3.45"/>
    <s v="3.2"/>
    <s v="2.46"/>
    <s v=""/>
    <s v=""/>
    <s v=""/>
  </r>
  <r>
    <s v="Brazil"/>
    <s v="Serie A"/>
    <n v="2024"/>
    <x v="100"/>
    <d v="1899-12-30T22:00:00"/>
    <x v="19"/>
    <s v="Corinthians"/>
    <n v="0"/>
    <n v="1"/>
    <x v="2"/>
    <n v="342"/>
    <n v="304"/>
    <n v="243"/>
    <n v="347"/>
    <n v="315"/>
    <n v="247"/>
    <n v="33"/>
    <n v="301"/>
    <n v="236"/>
    <s v="3.55"/>
    <s v="3.05"/>
    <s v="2.52"/>
    <s v=""/>
    <s v=""/>
    <s v=""/>
  </r>
  <r>
    <s v="Brazil"/>
    <s v="Serie A"/>
    <n v="2024"/>
    <x v="101"/>
    <d v="1899-12-30T00:00:00"/>
    <x v="7"/>
    <s v="Bahia"/>
    <n v="3"/>
    <n v="2"/>
    <x v="1"/>
    <n v="29"/>
    <n v="335"/>
    <n v="257"/>
    <n v="294"/>
    <n v="345"/>
    <n v="265"/>
    <n v="28"/>
    <n v="33"/>
    <n v="253"/>
    <s v="2.98"/>
    <s v="3.45"/>
    <s v="2.66"/>
    <s v=""/>
    <s v=""/>
    <s v=""/>
  </r>
  <r>
    <s v="Brazil"/>
    <s v="Serie A"/>
    <n v="2024"/>
    <x v="102"/>
    <d v="1899-12-30T22:00:00"/>
    <x v="1"/>
    <s v="Flamengo RJ"/>
    <n v="1"/>
    <n v="1"/>
    <x v="0"/>
    <n v="187"/>
    <n v="354"/>
    <n v="458"/>
    <n v="191"/>
    <n v="354"/>
    <n v="462"/>
    <n v="185"/>
    <n v="346"/>
    <n v="439"/>
    <s v="1.94"/>
    <s v="3.65"/>
    <s v="4.7"/>
    <s v=""/>
    <s v=""/>
    <s v=""/>
  </r>
  <r>
    <s v="Brazil"/>
    <s v="Serie A"/>
    <n v="2024"/>
    <x v="103"/>
    <d v="1899-12-30T00:00:00"/>
    <x v="2"/>
    <s v="Gremio"/>
    <n v="2"/>
    <n v="2"/>
    <x v="0"/>
    <n v="214"/>
    <n v="324"/>
    <n v="388"/>
    <n v="216"/>
    <n v="327"/>
    <n v="392"/>
    <n v="211"/>
    <n v="319"/>
    <n v="371"/>
    <s v="2.3"/>
    <s v="3.2"/>
    <s v="3.85"/>
    <s v=""/>
    <s v=""/>
    <s v=""/>
  </r>
  <r>
    <s v="Brazil"/>
    <s v="Serie A"/>
    <n v="2024"/>
    <x v="103"/>
    <d v="1899-12-30T19:00:00"/>
    <x v="11"/>
    <s v="Cuiaba"/>
    <n v="0"/>
    <n v="0"/>
    <x v="0"/>
    <n v="168"/>
    <n v="356"/>
    <n v="619"/>
    <n v="174"/>
    <n v="37"/>
    <n v="636"/>
    <n v="169"/>
    <n v="347"/>
    <n v="576"/>
    <s v="1.76"/>
    <s v="3.5"/>
    <s v="6.6"/>
    <s v=""/>
    <s v=""/>
    <s v=""/>
  </r>
  <r>
    <s v="Brazil"/>
    <s v="Serie A"/>
    <n v="2024"/>
    <x v="103"/>
    <d v="1899-12-30T21:30:00"/>
    <x v="4"/>
    <s v="Vitoria"/>
    <n v="1"/>
    <n v="2"/>
    <x v="2"/>
    <n v="183"/>
    <n v="343"/>
    <n v="509"/>
    <n v="189"/>
    <n v="365"/>
    <n v="524"/>
    <n v="181"/>
    <n v="339"/>
    <n v="483"/>
    <s v="1.8"/>
    <s v="3.65"/>
    <s v="5.6"/>
    <s v=""/>
    <s v=""/>
    <s v=""/>
  </r>
  <r>
    <s v="Brazil"/>
    <s v="Serie A"/>
    <n v="2024"/>
    <x v="103"/>
    <d v="1899-12-30T21:30:00"/>
    <x v="15"/>
    <s v="Fortaleza"/>
    <n v="0"/>
    <n v="3"/>
    <x v="2"/>
    <n v="256"/>
    <n v="32"/>
    <n v="303"/>
    <n v="263"/>
    <n v="329"/>
    <n v="303"/>
    <n v="252"/>
    <n v="317"/>
    <n v="291"/>
    <s v="2.7"/>
    <s v="3.3"/>
    <s v="3"/>
    <s v=""/>
    <s v=""/>
    <s v=""/>
  </r>
  <r>
    <s v="Brazil"/>
    <s v="Serie A"/>
    <n v="2024"/>
    <x v="104"/>
    <d v="1899-12-30T23:00:00"/>
    <x v="6"/>
    <s v="Palmeiras"/>
    <n v="2"/>
    <n v="0"/>
    <x v="1"/>
    <n v="321"/>
    <n v="318"/>
    <n v="245"/>
    <n v="334"/>
    <n v="34"/>
    <n v="246"/>
    <n v="314"/>
    <n v="321"/>
    <n v="235"/>
    <s v="3.25"/>
    <s v="3.3"/>
    <s v="2.52"/>
    <s v=""/>
    <s v=""/>
    <s v=""/>
  </r>
  <r>
    <s v="Brazil"/>
    <s v="Serie A"/>
    <n v="2024"/>
    <x v="105"/>
    <d v="1899-12-30T00:30:00"/>
    <x v="10"/>
    <s v="Sao Paulo"/>
    <n v="0"/>
    <n v="3"/>
    <x v="2"/>
    <n v="232"/>
    <n v="316"/>
    <n v="349"/>
    <n v="236"/>
    <n v="325"/>
    <n v="35"/>
    <n v="228"/>
    <n v="311"/>
    <n v="337"/>
    <s v="2.34"/>
    <s v="3.25"/>
    <s v="3.7"/>
    <s v=""/>
    <s v=""/>
    <s v=""/>
  </r>
  <r>
    <s v="Brazil"/>
    <s v="Serie A"/>
    <n v="2024"/>
    <x v="105"/>
    <d v="1899-12-30T00:30:00"/>
    <x v="18"/>
    <s v="Vasco"/>
    <n v="3"/>
    <n v="0"/>
    <x v="1"/>
    <n v="143"/>
    <n v="497"/>
    <n v="845"/>
    <n v="144"/>
    <n v="51"/>
    <n v="9"/>
    <n v="139"/>
    <n v="475"/>
    <n v="794"/>
    <s v="1.42"/>
    <s v="5.1"/>
    <s v="9.2"/>
    <s v=""/>
    <s v=""/>
    <s v=""/>
  </r>
  <r>
    <s v="Brazil"/>
    <s v="Serie A"/>
    <n v="2024"/>
    <x v="105"/>
    <d v="1899-12-30T00:30:00"/>
    <x v="1"/>
    <s v="Criciuma"/>
    <n v="2"/>
    <n v="0"/>
    <x v="1"/>
    <n v="136"/>
    <n v="523"/>
    <n v="879"/>
    <n v="139"/>
    <n v="54"/>
    <n v="10"/>
    <n v="135"/>
    <n v="505"/>
    <n v="846"/>
    <s v="1.37"/>
    <s v="5.5"/>
    <s v="10.5"/>
    <s v=""/>
    <s v=""/>
    <s v=""/>
  </r>
  <r>
    <s v="Brazil"/>
    <s v="Serie A"/>
    <n v="2024"/>
    <x v="106"/>
    <d v="1899-12-30T00:00:00"/>
    <x v="5"/>
    <s v="Atletico-MG"/>
    <n v="1"/>
    <n v="0"/>
    <x v="1"/>
    <n v="224"/>
    <n v="328"/>
    <n v="353"/>
    <n v="25"/>
    <n v="33"/>
    <n v="353"/>
    <n v="227"/>
    <n v="32"/>
    <n v="331"/>
    <s v="2.46"/>
    <s v="3.3"/>
    <s v="3.35"/>
    <s v=""/>
    <s v=""/>
    <s v=""/>
  </r>
  <r>
    <s v="Brazil"/>
    <s v="Serie A"/>
    <n v="2024"/>
    <x v="106"/>
    <d v="1899-12-30T00:00:00"/>
    <x v="8"/>
    <s v="Flamengo RJ"/>
    <n v="0"/>
    <n v="1"/>
    <x v="2"/>
    <n v="265"/>
    <n v="316"/>
    <n v="295"/>
    <n v="273"/>
    <n v="33"/>
    <n v="32"/>
    <n v="255"/>
    <n v="312"/>
    <n v="292"/>
    <s v="2.74"/>
    <s v="3.15"/>
    <s v="3.1"/>
    <s v=""/>
    <s v=""/>
    <s v=""/>
  </r>
  <r>
    <s v="Brazil"/>
    <s v="Serie A"/>
    <n v="2024"/>
    <x v="107"/>
    <d v="1899-12-30T22:00:00"/>
    <x v="1"/>
    <s v="Fluminense"/>
    <n v="2"/>
    <n v="0"/>
    <x v="1"/>
    <n v="15"/>
    <n v="424"/>
    <n v="735"/>
    <n v="152"/>
    <n v="46"/>
    <n v="8"/>
    <n v="147"/>
    <n v="42"/>
    <n v="713"/>
    <s v="1.5"/>
    <s v="4.5"/>
    <s v="8.8"/>
    <s v=""/>
    <s v=""/>
    <s v=""/>
  </r>
  <r>
    <s v="Brazil"/>
    <s v="Serie A"/>
    <n v="2024"/>
    <x v="108"/>
    <d v="1899-12-30T00:30:00"/>
    <x v="16"/>
    <s v="Gremio"/>
    <n v="1"/>
    <n v="0"/>
    <x v="1"/>
    <n v="138"/>
    <n v="524"/>
    <n v="827"/>
    <n v="141"/>
    <n v="536"/>
    <n v="827"/>
    <n v="137"/>
    <n v="509"/>
    <n v="768"/>
    <s v="1.4"/>
    <s v="5.4"/>
    <s v="9.2"/>
    <s v=""/>
    <s v=""/>
    <s v=""/>
  </r>
  <r>
    <s v="Brazil"/>
    <s v="Serie A"/>
    <n v="2024"/>
    <x v="108"/>
    <d v="1899-12-30T19:30:00"/>
    <x v="18"/>
    <s v="Cuiaba"/>
    <n v="0"/>
    <n v="0"/>
    <x v="0"/>
    <n v="123"/>
    <n v="631"/>
    <n v="1461"/>
    <n v="125"/>
    <n v="65"/>
    <n v="15"/>
    <n v="122"/>
    <n v="6"/>
    <n v="138"/>
    <s v="1.24"/>
    <s v="6.6"/>
    <s v="20"/>
    <s v=""/>
    <s v=""/>
    <s v=""/>
  </r>
  <r>
    <s v="Brazil"/>
    <s v="Serie A"/>
    <n v="2024"/>
    <x v="108"/>
    <d v="1899-12-30T19:30:00"/>
    <x v="9"/>
    <s v="Corinthians"/>
    <n v="1"/>
    <n v="2"/>
    <x v="2"/>
    <n v="324"/>
    <n v="303"/>
    <n v="253"/>
    <n v="329"/>
    <n v="32"/>
    <n v="256"/>
    <n v="312"/>
    <n v="303"/>
    <n v="247"/>
    <s v="3.25"/>
    <s v="3.2"/>
    <s v="2.6"/>
    <s v=""/>
    <s v=""/>
    <s v=""/>
  </r>
  <r>
    <s v="Brazil"/>
    <s v="Serie A"/>
    <n v="2024"/>
    <x v="108"/>
    <d v="1899-12-30T22:00:00"/>
    <x v="5"/>
    <s v="Bragantino"/>
    <n v="0"/>
    <n v="0"/>
    <x v="0"/>
    <n v="268"/>
    <n v="338"/>
    <n v="275"/>
    <n v="276"/>
    <n v="36"/>
    <n v="285"/>
    <n v="261"/>
    <n v="335"/>
    <n v="267"/>
    <s v="2.76"/>
    <s v="3.45"/>
    <s v="2.82"/>
    <s v=""/>
    <s v=""/>
    <s v=""/>
  </r>
  <r>
    <s v="Brazil"/>
    <s v="Serie A"/>
    <n v="2024"/>
    <x v="108"/>
    <d v="1899-12-30T22:00:00"/>
    <x v="8"/>
    <s v="Criciuma"/>
    <n v="2"/>
    <n v="1"/>
    <x v="1"/>
    <n v="163"/>
    <n v="395"/>
    <n v="583"/>
    <n v="168"/>
    <n v="395"/>
    <n v="609"/>
    <n v="163"/>
    <n v="378"/>
    <n v="56"/>
    <s v="1.63"/>
    <s v="4.1"/>
    <s v="6.6"/>
    <s v=""/>
    <s v=""/>
    <s v=""/>
  </r>
  <r>
    <s v="Brazil"/>
    <s v="Serie A"/>
    <n v="2024"/>
    <x v="108"/>
    <d v="1899-12-30T22:00:00"/>
    <x v="14"/>
    <s v="Vasco"/>
    <n v="3"/>
    <n v="0"/>
    <x v="1"/>
    <n v="174"/>
    <n v="371"/>
    <n v="524"/>
    <n v="175"/>
    <n v="38"/>
    <n v="53"/>
    <n v="171"/>
    <n v="369"/>
    <n v="497"/>
    <s v="1.75"/>
    <s v="3.85"/>
    <s v="5.8"/>
    <s v=""/>
    <s v=""/>
    <s v=""/>
  </r>
  <r>
    <s v="Brazil"/>
    <s v="Serie A"/>
    <n v="2024"/>
    <x v="108"/>
    <d v="1899-12-30T22:00:00"/>
    <x v="15"/>
    <s v="Bahia"/>
    <n v="2"/>
    <n v="1"/>
    <x v="1"/>
    <n v="251"/>
    <n v="345"/>
    <n v="29"/>
    <n v="263"/>
    <n v="358"/>
    <n v="29"/>
    <n v="247"/>
    <n v="34"/>
    <n v="279"/>
    <s v="2.62"/>
    <s v="3.45"/>
    <s v="2.98"/>
    <s v=""/>
    <s v=""/>
    <s v=""/>
  </r>
  <r>
    <s v="Brazil"/>
    <s v="Serie A"/>
    <n v="2024"/>
    <x v="109"/>
    <d v="1899-12-30T00:00:00"/>
    <x v="3"/>
    <s v="Athletico-PR"/>
    <n v="2"/>
    <n v="1"/>
    <x v="1"/>
    <n v="158"/>
    <n v="398"/>
    <n v="657"/>
    <n v="16"/>
    <n v="4"/>
    <n v="686"/>
    <n v="156"/>
    <n v="389"/>
    <n v="631"/>
    <s v="1.62"/>
    <s v="4"/>
    <s v="7"/>
    <s v=""/>
    <s v=""/>
    <s v=""/>
  </r>
  <r>
    <s v="Brazil"/>
    <s v="Serie A"/>
    <n v="2024"/>
    <x v="110"/>
    <d v="1899-12-30T23:00:00"/>
    <x v="17"/>
    <s v="Atletico-MG"/>
    <n v="0"/>
    <n v="0"/>
    <x v="0"/>
    <n v="206"/>
    <n v="325"/>
    <n v="414"/>
    <n v="209"/>
    <n v="35"/>
    <n v="438"/>
    <n v="198"/>
    <n v="329"/>
    <n v="402"/>
    <s v="2.08"/>
    <s v="3.45"/>
    <s v="4.3"/>
    <s v=""/>
    <s v=""/>
    <s v=""/>
  </r>
  <r>
    <s v="Brazil"/>
    <s v="Serie A"/>
    <n v="2024"/>
    <x v="111"/>
    <d v="1899-12-30T21:30:00"/>
    <x v="4"/>
    <s v="Atletico-MG"/>
    <n v="1"/>
    <n v="0"/>
    <x v="1"/>
    <n v="237"/>
    <n v="321"/>
    <n v="333"/>
    <n v="239"/>
    <n v="33"/>
    <n v="36"/>
    <n v="229"/>
    <n v="319"/>
    <n v="326"/>
    <s v="2.4"/>
    <s v="3.3"/>
    <s v="3.55"/>
    <s v=""/>
    <s v=""/>
    <s v=""/>
  </r>
  <r>
    <s v="Brazil"/>
    <s v="Serie A"/>
    <n v="2024"/>
    <x v="112"/>
    <d v="1899-12-30T14:00:00"/>
    <x v="6"/>
    <s v="Cruzeiro"/>
    <n v="2"/>
    <n v="1"/>
    <x v="1"/>
    <n v="15"/>
    <n v="43"/>
    <n v="717"/>
    <n v="154"/>
    <n v="451"/>
    <n v="756"/>
    <n v="147"/>
    <n v="425"/>
    <n v="696"/>
    <s v="1.5"/>
    <s v="4.6"/>
    <s v="8.4"/>
    <s v=""/>
    <s v=""/>
    <s v=""/>
  </r>
  <r>
    <s v="Brazil"/>
    <s v="Serie A"/>
    <n v="2024"/>
    <x v="112"/>
    <d v="1899-12-30T19:30:00"/>
    <x v="4"/>
    <s v="Atletico GO"/>
    <n v="2"/>
    <n v="0"/>
    <x v="1"/>
    <n v="168"/>
    <n v="379"/>
    <n v="561"/>
    <n v="17"/>
    <n v="4"/>
    <n v="61"/>
    <n v="164"/>
    <n v="382"/>
    <n v="541"/>
    <s v="1.7"/>
    <s v="3.95"/>
    <s v="6.2"/>
    <s v=""/>
    <s v=""/>
    <s v=""/>
  </r>
  <r>
    <s v="Brazil"/>
    <s v="Serie A"/>
    <n v="2024"/>
    <x v="112"/>
    <d v="1899-12-30T19:30:00"/>
    <x v="11"/>
    <s v="Sao Paulo"/>
    <n v="1"/>
    <n v="1"/>
    <x v="0"/>
    <n v="252"/>
    <n v="311"/>
    <n v="319"/>
    <n v="26"/>
    <n v="315"/>
    <n v="32"/>
    <n v="248"/>
    <n v="305"/>
    <n v="309"/>
    <s v="2.56"/>
    <s v="3.2"/>
    <s v="3.3"/>
    <s v=""/>
    <s v=""/>
    <s v=""/>
  </r>
  <r>
    <s v="Brazil"/>
    <s v="Serie A"/>
    <n v="2024"/>
    <x v="112"/>
    <d v="1899-12-30T19:30:00"/>
    <x v="0"/>
    <s v="Vitoria"/>
    <n v="0"/>
    <n v="1"/>
    <x v="2"/>
    <n v="215"/>
    <n v="324"/>
    <n v="386"/>
    <n v="223"/>
    <n v="338"/>
    <n v="393"/>
    <n v="213"/>
    <n v="322"/>
    <n v="364"/>
    <s v="2.24"/>
    <s v="3.3"/>
    <s v="3.95"/>
    <s v=""/>
    <s v=""/>
    <s v=""/>
  </r>
  <r>
    <s v="Brazil"/>
    <s v="Serie A"/>
    <n v="2024"/>
    <x v="112"/>
    <d v="1899-12-30T21:00:00"/>
    <x v="10"/>
    <s v="Palmeiras"/>
    <n v="1"/>
    <n v="2"/>
    <x v="2"/>
    <n v="334"/>
    <n v="367"/>
    <n v="216"/>
    <n v="341"/>
    <n v="368"/>
    <n v="221"/>
    <n v="323"/>
    <n v="359"/>
    <n v="214"/>
    <s v="3.5"/>
    <s v="3.75"/>
    <s v="2.22"/>
    <s v=""/>
    <s v=""/>
    <s v=""/>
  </r>
  <r>
    <s v="Brazil"/>
    <s v="Serie A"/>
    <n v="2024"/>
    <x v="112"/>
    <d v="1899-12-30T22:00:00"/>
    <x v="19"/>
    <s v="Flamengo RJ"/>
    <n v="1"/>
    <n v="2"/>
    <x v="2"/>
    <n v="449"/>
    <n v="34"/>
    <n v="193"/>
    <n v="468"/>
    <n v="342"/>
    <n v="201"/>
    <n v="421"/>
    <n v="33"/>
    <n v="194"/>
    <s v="4.8"/>
    <s v="3.5"/>
    <s v="1.97"/>
    <s v=""/>
    <s v=""/>
    <s v=""/>
  </r>
  <r>
    <s v="Brazil"/>
    <s v="Serie A"/>
    <n v="2024"/>
    <x v="112"/>
    <d v="1899-12-30T22:00:00"/>
    <x v="12"/>
    <s v="Juventude"/>
    <n v="2"/>
    <n v="2"/>
    <x v="0"/>
    <n v="182"/>
    <n v="368"/>
    <n v="465"/>
    <n v="186"/>
    <n v="385"/>
    <n v="5"/>
    <n v="181"/>
    <n v="36"/>
    <n v="446"/>
    <s v="1.86"/>
    <s v="3.75"/>
    <s v="5"/>
    <s v=""/>
    <s v=""/>
    <s v=""/>
  </r>
  <r>
    <s v="Brazil"/>
    <s v="Serie A"/>
    <n v="2024"/>
    <x v="113"/>
    <d v="1899-12-30T00:30:00"/>
    <x v="13"/>
    <s v="Botafogo RJ"/>
    <n v="0"/>
    <n v="0"/>
    <x v="0"/>
    <n v="421"/>
    <n v="314"/>
    <n v="209"/>
    <n v="421"/>
    <n v="335"/>
    <n v="209"/>
    <n v="399"/>
    <n v="318"/>
    <n v="203"/>
    <s v="4.3"/>
    <s v="3.25"/>
    <s v="2.14"/>
    <s v=""/>
    <s v=""/>
    <s v=""/>
  </r>
  <r>
    <s v="Brazil"/>
    <s v="Serie A"/>
    <n v="2024"/>
    <x v="113"/>
    <d v="1899-12-30T23:00:00"/>
    <x v="7"/>
    <s v="Internacional"/>
    <n v="0"/>
    <n v="1"/>
    <x v="2"/>
    <n v="374"/>
    <n v="332"/>
    <n v="215"/>
    <n v="378"/>
    <n v="345"/>
    <n v="216"/>
    <n v="361"/>
    <n v="326"/>
    <n v="211"/>
    <s v="3.8"/>
    <s v="3.4"/>
    <s v="2.22"/>
    <s v=""/>
    <s v=""/>
    <s v=""/>
  </r>
  <r>
    <s v="Brazil"/>
    <s v="Serie A"/>
    <n v="2024"/>
    <x v="114"/>
    <d v="1899-12-30T00:30:00"/>
    <x v="2"/>
    <s v="Fortaleza"/>
    <n v="2"/>
    <n v="2"/>
    <x v="0"/>
    <n v="204"/>
    <n v="324"/>
    <n v="416"/>
    <n v="215"/>
    <n v="335"/>
    <n v="416"/>
    <n v="206"/>
    <n v="318"/>
    <n v="39"/>
    <s v="2.1"/>
    <s v="3.35"/>
    <s v="4.4"/>
    <s v=""/>
    <s v=""/>
    <s v=""/>
  </r>
  <r>
    <s v="Brazil"/>
    <s v="Serie A"/>
    <n v="2024"/>
    <x v="114"/>
    <d v="1899-12-30T22:30:00"/>
    <x v="5"/>
    <s v="Palmeiras"/>
    <n v="0"/>
    <n v="1"/>
    <x v="2"/>
    <n v="813"/>
    <n v="533"/>
    <n v="137"/>
    <n v="95"/>
    <n v="544"/>
    <n v="14"/>
    <n v="819"/>
    <n v="509"/>
    <n v="135"/>
    <s v="10"/>
    <s v="5.2"/>
    <s v="1.39"/>
    <s v=""/>
    <s v=""/>
    <s v=""/>
  </r>
  <r>
    <s v="Brazil"/>
    <s v="Serie A"/>
    <n v="2024"/>
    <x v="114"/>
    <d v="1899-12-30T22:30:00"/>
    <x v="18"/>
    <s v="Vitoria"/>
    <n v="1"/>
    <n v="1"/>
    <x v="0"/>
    <n v="137"/>
    <n v="494"/>
    <n v="921"/>
    <n v="141"/>
    <n v="525"/>
    <n v="11"/>
    <n v="136"/>
    <n v="484"/>
    <n v="874"/>
    <s v="1.39"/>
    <s v="5.1"/>
    <s v="11"/>
    <s v=""/>
    <s v=""/>
    <s v=""/>
  </r>
  <r>
    <s v="Brazil"/>
    <s v="Serie A"/>
    <n v="2024"/>
    <x v="114"/>
    <d v="1899-12-30T22:30:00"/>
    <x v="15"/>
    <s v="Cuiaba"/>
    <n v="1"/>
    <n v="1"/>
    <x v="0"/>
    <n v="162"/>
    <n v="385"/>
    <n v="626"/>
    <n v="2"/>
    <n v="39"/>
    <n v="626"/>
    <n v="162"/>
    <n v="372"/>
    <n v="593"/>
    <s v="1.66"/>
    <s v="3.95"/>
    <s v="6.6"/>
    <s v=""/>
    <s v=""/>
    <s v=""/>
  </r>
  <r>
    <s v="Brazil"/>
    <s v="Serie A"/>
    <n v="2024"/>
    <x v="115"/>
    <d v="1899-12-30T00:30:00"/>
    <x v="3"/>
    <s v="Atletico-MG"/>
    <n v="2"/>
    <n v="2"/>
    <x v="0"/>
    <n v="201"/>
    <n v="32"/>
    <n v="446"/>
    <n v="204"/>
    <n v="37"/>
    <n v="48"/>
    <n v="197"/>
    <n v="312"/>
    <n v="434"/>
    <s v="2.06"/>
    <s v="3.25"/>
    <s v="4.7"/>
    <s v=""/>
    <s v=""/>
    <s v=""/>
  </r>
  <r>
    <s v="Brazil"/>
    <s v="Serie A"/>
    <n v="2024"/>
    <x v="115"/>
    <d v="1899-12-30T19:00:00"/>
    <x v="10"/>
    <s v="Athletico-PR"/>
    <n v="1"/>
    <n v="1"/>
    <x v="0"/>
    <n v="172"/>
    <n v="407"/>
    <n v="479"/>
    <n v="182"/>
    <n v="41"/>
    <n v="5"/>
    <n v="17"/>
    <n v="394"/>
    <n v="464"/>
    <s v="1.75"/>
    <s v="4.1"/>
    <s v="5.2"/>
    <s v=""/>
    <s v=""/>
    <s v=""/>
  </r>
  <r>
    <s v="Brazil"/>
    <s v="Serie A"/>
    <n v="2024"/>
    <x v="115"/>
    <d v="1899-12-30T19:00:00"/>
    <x v="6"/>
    <s v="Vasco"/>
    <n v="3"/>
    <n v="1"/>
    <x v="1"/>
    <n v="161"/>
    <n v="396"/>
    <n v="616"/>
    <n v="163"/>
    <n v="42"/>
    <n v="64"/>
    <n v="159"/>
    <n v="391"/>
    <n v="582"/>
    <s v="1.62"/>
    <s v="4.1"/>
    <s v="7"/>
    <s v=""/>
    <s v=""/>
    <s v=""/>
  </r>
  <r>
    <s v="Brazil"/>
    <s v="Serie A"/>
    <n v="2024"/>
    <x v="115"/>
    <d v="1899-12-30T19:00:00"/>
    <x v="1"/>
    <s v="Bragantino"/>
    <n v="4"/>
    <n v="1"/>
    <x v="1"/>
    <n v="158"/>
    <n v="426"/>
    <n v="591"/>
    <n v="161"/>
    <n v="44"/>
    <n v="7"/>
    <n v="156"/>
    <n v="414"/>
    <n v="569"/>
    <s v="1.62"/>
    <s v="4.3"/>
    <s v="6.4"/>
    <s v=""/>
    <s v=""/>
    <s v=""/>
  </r>
  <r>
    <s v="Brazil"/>
    <s v="Serie A"/>
    <n v="2024"/>
    <x v="116"/>
    <d v="1899-12-30T22:00:00"/>
    <x v="2"/>
    <s v="Criciuma"/>
    <n v="0"/>
    <n v="0"/>
    <x v="0"/>
    <n v="167"/>
    <n v="369"/>
    <n v="594"/>
    <n v="167"/>
    <n v="376"/>
    <n v="661"/>
    <n v="163"/>
    <n v="366"/>
    <n v="579"/>
    <s v="1.68"/>
    <s v="3.8"/>
    <s v="6.8"/>
    <s v=""/>
    <s v=""/>
    <s v=""/>
  </r>
  <r>
    <s v="Brazil"/>
    <s v="Serie A"/>
    <n v="2024"/>
    <x v="116"/>
    <d v="1899-12-30T23:00:00"/>
    <x v="14"/>
    <s v="Flamengo RJ"/>
    <n v="0"/>
    <n v="0"/>
    <x v="0"/>
    <n v="321"/>
    <n v="326"/>
    <n v="241"/>
    <n v="326"/>
    <n v="326"/>
    <n v="242"/>
    <n v="311"/>
    <n v="32"/>
    <n v="236"/>
    <s v="3.3"/>
    <s v="3.4"/>
    <s v="2.46"/>
    <s v=""/>
    <s v=""/>
    <s v=""/>
  </r>
  <r>
    <s v="Brazil"/>
    <s v="Serie A"/>
    <n v="2024"/>
    <x v="117"/>
    <d v="1899-12-30T00:30:00"/>
    <x v="13"/>
    <s v="Juventude"/>
    <n v="2"/>
    <n v="3"/>
    <x v="2"/>
    <n v="26"/>
    <n v="301"/>
    <n v="321"/>
    <n v="275"/>
    <n v="314"/>
    <n v="321"/>
    <n v="255"/>
    <n v="299"/>
    <n v="303"/>
    <s v="2.6"/>
    <s v="3.15"/>
    <s v="3.3"/>
    <s v=""/>
    <s v=""/>
    <s v=""/>
  </r>
  <r>
    <s v="Brazil"/>
    <s v="Serie A"/>
    <n v="2024"/>
    <x v="117"/>
    <d v="1899-12-30T00:30:00"/>
    <x v="16"/>
    <s v="Botafogo RJ"/>
    <n v="1"/>
    <n v="3"/>
    <x v="2"/>
    <n v="208"/>
    <n v="33"/>
    <n v="399"/>
    <n v="211"/>
    <n v="34"/>
    <n v="433"/>
    <n v="205"/>
    <n v="324"/>
    <n v="39"/>
    <s v="2.08"/>
    <s v="3.4"/>
    <s v="4.3"/>
    <s v=""/>
    <s v=""/>
    <s v=""/>
  </r>
  <r>
    <s v="Brazil"/>
    <s v="Serie A"/>
    <n v="2024"/>
    <x v="118"/>
    <d v="1899-12-30T00:00:00"/>
    <x v="8"/>
    <s v="Gremio"/>
    <n v="1"/>
    <n v="1"/>
    <x v="0"/>
    <n v="2"/>
    <n v="337"/>
    <n v="42"/>
    <n v="208"/>
    <n v="34"/>
    <n v="42"/>
    <n v="199"/>
    <n v="331"/>
    <n v="395"/>
    <s v="2.08"/>
    <s v="3.5"/>
    <s v="4.2"/>
    <s v=""/>
    <s v=""/>
    <s v=""/>
  </r>
  <r>
    <s v="Brazil"/>
    <s v="Serie A"/>
    <n v="2024"/>
    <x v="119"/>
    <d v="1899-12-30T22:30:00"/>
    <x v="0"/>
    <s v="Corinthians"/>
    <n v="2"/>
    <n v="4"/>
    <x v="2"/>
    <n v="355"/>
    <n v="333"/>
    <n v="221"/>
    <n v="358"/>
    <n v="34"/>
    <n v="224"/>
    <n v="34"/>
    <n v="327"/>
    <n v="219"/>
    <s v="3.7"/>
    <s v="3.4"/>
    <s v="2.28"/>
    <s v=""/>
    <s v=""/>
    <s v=""/>
  </r>
  <r>
    <s v="Brazil"/>
    <s v="Serie A"/>
    <n v="2024"/>
    <x v="119"/>
    <d v="1899-12-30T22:30:00"/>
    <x v="19"/>
    <s v="Bahia"/>
    <n v="1"/>
    <n v="2"/>
    <x v="2"/>
    <n v="437"/>
    <n v="352"/>
    <n v="192"/>
    <n v="437"/>
    <n v="353"/>
    <n v="196"/>
    <n v="421"/>
    <n v="342"/>
    <n v="19"/>
    <s v="4.7"/>
    <s v="3.6"/>
    <s v="1.95"/>
    <s v=""/>
    <s v=""/>
    <s v=""/>
  </r>
  <r>
    <s v="Brazil"/>
    <s v="Serie A"/>
    <n v="2024"/>
    <x v="120"/>
    <d v="1899-12-30T00:30:00"/>
    <x v="7"/>
    <s v="Atletico GO"/>
    <n v="2"/>
    <n v="2"/>
    <x v="0"/>
    <n v="194"/>
    <n v="346"/>
    <n v="43"/>
    <n v="199"/>
    <n v="376"/>
    <n v="535"/>
    <n v="19"/>
    <n v="34"/>
    <n v="423"/>
    <s v="2"/>
    <s v="3.5"/>
    <s v="4.4"/>
    <s v=""/>
    <s v=""/>
    <s v=""/>
  </r>
  <r>
    <s v="Brazil"/>
    <s v="Serie A"/>
    <n v="2024"/>
    <x v="120"/>
    <d v="1899-12-30T19:00:00"/>
    <x v="17"/>
    <s v="Internacional"/>
    <n v="3"/>
    <n v="2"/>
    <x v="1"/>
    <n v="188"/>
    <n v="35"/>
    <n v="457"/>
    <n v="204"/>
    <n v="35"/>
    <n v="457"/>
    <n v="191"/>
    <n v="339"/>
    <n v="421"/>
    <s v="1.96"/>
    <s v="3.6"/>
    <s v="4.6"/>
    <s v=""/>
    <s v=""/>
    <s v=""/>
  </r>
  <r>
    <s v="Brazil"/>
    <s v="Serie A"/>
    <n v="2024"/>
    <x v="120"/>
    <d v="1899-12-30T19:00:00"/>
    <x v="12"/>
    <s v="Sao Paulo"/>
    <n v="2"/>
    <n v="1"/>
    <x v="1"/>
    <n v="238"/>
    <n v="325"/>
    <n v="328"/>
    <n v="242"/>
    <n v="325"/>
    <n v="335"/>
    <n v="233"/>
    <n v="315"/>
    <n v="32"/>
    <s v="2.44"/>
    <s v="3.35"/>
    <s v="3.4"/>
    <s v=""/>
    <s v=""/>
    <s v=""/>
  </r>
  <r>
    <s v="Brazil"/>
    <s v="Serie A"/>
    <n v="2024"/>
    <x v="120"/>
    <d v="1899-12-30T21:30:00"/>
    <x v="4"/>
    <s v="Fluminense"/>
    <n v="1"/>
    <n v="1"/>
    <x v="0"/>
    <n v="23"/>
    <n v="303"/>
    <n v="372"/>
    <n v="236"/>
    <n v="315"/>
    <n v="389"/>
    <n v="228"/>
    <n v="295"/>
    <n v="358"/>
    <s v="2.42"/>
    <s v="3.05"/>
    <s v="3.8"/>
    <s v=""/>
    <s v=""/>
    <s v=""/>
  </r>
  <r>
    <s v="Brazil"/>
    <s v="Serie A"/>
    <n v="2024"/>
    <x v="120"/>
    <d v="1899-12-30T21:30:00"/>
    <x v="11"/>
    <s v="Cruzeiro"/>
    <n v="1"/>
    <n v="1"/>
    <x v="0"/>
    <n v="204"/>
    <n v="341"/>
    <n v="4"/>
    <n v="208"/>
    <n v="341"/>
    <n v="413"/>
    <n v="2"/>
    <n v="332"/>
    <n v="391"/>
    <s v="2.12"/>
    <s v="3.4"/>
    <s v="4.1"/>
    <s v=""/>
    <s v=""/>
    <s v=""/>
  </r>
  <r>
    <s v="Brazil"/>
    <s v="Serie A"/>
    <n v="2024"/>
    <x v="120"/>
    <d v="1899-12-30T21:30:00"/>
    <x v="9"/>
    <s v="Fortaleza"/>
    <n v="2"/>
    <n v="0"/>
    <x v="1"/>
    <n v="224"/>
    <n v="312"/>
    <n v="365"/>
    <n v="244"/>
    <n v="325"/>
    <n v="365"/>
    <n v="224"/>
    <n v="313"/>
    <n v="342"/>
    <s v="2.34"/>
    <s v="3.2"/>
    <s v="3.7"/>
    <s v=""/>
    <s v=""/>
    <s v=""/>
  </r>
  <r>
    <s v="Brazil"/>
    <s v="Serie A"/>
    <n v="2024"/>
    <x v="121"/>
    <d v="1899-12-30T23:00:00"/>
    <x v="6"/>
    <s v="Bahia"/>
    <n v="3"/>
    <n v="0"/>
    <x v="1"/>
    <n v="17"/>
    <n v="396"/>
    <n v="51"/>
    <n v="172"/>
    <n v="41"/>
    <n v="55"/>
    <n v="168"/>
    <n v="394"/>
    <n v="483"/>
    <s v="1.72"/>
    <s v="4"/>
    <s v="5.7"/>
    <s v=""/>
    <s v=""/>
    <s v=""/>
  </r>
  <r>
    <s v="Brazil"/>
    <s v="Serie A"/>
    <n v="2024"/>
    <x v="122"/>
    <d v="1899-12-30T22:00:00"/>
    <x v="7"/>
    <s v="Atletico-MG"/>
    <n v="2"/>
    <n v="0"/>
    <x v="1"/>
    <n v="309"/>
    <n v="295"/>
    <n v="27"/>
    <n v="315"/>
    <n v="31"/>
    <n v="275"/>
    <n v="298"/>
    <n v="292"/>
    <n v="264"/>
    <s v="3.2"/>
    <s v="3.1"/>
    <s v="2.72"/>
    <s v=""/>
    <s v=""/>
    <s v=""/>
  </r>
  <r>
    <s v="Brazil"/>
    <s v="Serie A"/>
    <n v="2024"/>
    <x v="122"/>
    <d v="1899-12-30T23:00:00"/>
    <x v="0"/>
    <s v="Flamengo RJ"/>
    <n v="0"/>
    <n v="3"/>
    <x v="2"/>
    <n v="314"/>
    <n v="375"/>
    <n v="223"/>
    <n v="332"/>
    <n v="375"/>
    <n v="229"/>
    <n v="312"/>
    <n v="361"/>
    <n v="219"/>
    <s v="3.25"/>
    <s v="3.75"/>
    <s v="2.32"/>
    <s v=""/>
    <s v=""/>
    <s v=""/>
  </r>
  <r>
    <s v="Brazil"/>
    <s v="Serie A"/>
    <n v="2024"/>
    <x v="122"/>
    <d v="1899-12-30T23:00:00"/>
    <x v="3"/>
    <s v="Juventude"/>
    <n v="1"/>
    <n v="2"/>
    <x v="2"/>
    <n v="169"/>
    <n v="383"/>
    <n v="538"/>
    <n v="189"/>
    <n v="4"/>
    <n v="555"/>
    <n v="17"/>
    <n v="373"/>
    <n v="5"/>
    <s v="1.72"/>
    <s v="3.95"/>
    <s v="5.9"/>
    <s v=""/>
    <s v=""/>
    <s v=""/>
  </r>
  <r>
    <s v="Brazil"/>
    <s v="Serie A"/>
    <n v="2024"/>
    <x v="122"/>
    <d v="1899-12-30T23:00:00"/>
    <x v="9"/>
    <s v="Gremio"/>
    <n v="1"/>
    <n v="1"/>
    <x v="0"/>
    <n v="252"/>
    <n v="314"/>
    <n v="315"/>
    <n v="256"/>
    <n v="323"/>
    <n v="34"/>
    <n v="24"/>
    <n v="311"/>
    <n v="315"/>
    <s v="2.56"/>
    <s v="3.25"/>
    <s v="3.25"/>
    <s v=""/>
    <s v=""/>
    <s v=""/>
  </r>
  <r>
    <s v="Brazil"/>
    <s v="Serie A"/>
    <n v="2024"/>
    <x v="123"/>
    <d v="1899-12-30T00:30:00"/>
    <x v="5"/>
    <s v="Fortaleza"/>
    <n v="3"/>
    <n v="1"/>
    <x v="1"/>
    <n v="259"/>
    <n v="336"/>
    <n v="287"/>
    <n v="282"/>
    <n v="34"/>
    <n v="29"/>
    <n v="259"/>
    <n v="327"/>
    <n v="275"/>
    <s v="2.64"/>
    <s v="3.35"/>
    <s v="3.05"/>
    <s v=""/>
    <s v=""/>
    <s v=""/>
  </r>
  <r>
    <s v="Brazil"/>
    <s v="Serie A"/>
    <n v="2024"/>
    <x v="123"/>
    <d v="1899-12-30T00:30:00"/>
    <x v="8"/>
    <s v="Palmeiras"/>
    <n v="1"/>
    <n v="2"/>
    <x v="2"/>
    <n v="405"/>
    <n v="347"/>
    <n v="199"/>
    <n v="423"/>
    <n v="348"/>
    <n v="21"/>
    <n v="391"/>
    <n v="337"/>
    <n v="198"/>
    <s v="4"/>
    <s v="3.65"/>
    <s v="2.06"/>
    <s v=""/>
    <s v=""/>
    <s v=""/>
  </r>
  <r>
    <s v="Brazil"/>
    <s v="Serie A"/>
    <n v="2024"/>
    <x v="123"/>
    <d v="1899-12-30T00:30:00"/>
    <x v="1"/>
    <s v="Botafogo RJ"/>
    <n v="0"/>
    <n v="1"/>
    <x v="2"/>
    <n v="279"/>
    <n v="324"/>
    <n v="273"/>
    <n v="283"/>
    <n v="34"/>
    <n v="273"/>
    <n v="272"/>
    <n v="324"/>
    <n v="262"/>
    <s v="2.82"/>
    <s v="3.45"/>
    <s v="2.78"/>
    <s v=""/>
    <s v=""/>
    <s v=""/>
  </r>
  <r>
    <s v="Brazil"/>
    <s v="Serie A"/>
    <n v="2024"/>
    <x v="123"/>
    <d v="1899-12-30T23:00:00"/>
    <x v="4"/>
    <s v="Bragantino"/>
    <n v="1"/>
    <n v="2"/>
    <x v="2"/>
    <n v="22"/>
    <n v="325"/>
    <n v="367"/>
    <n v="223"/>
    <n v="35"/>
    <n v="382"/>
    <n v="212"/>
    <n v="324"/>
    <n v="359"/>
    <s v="2.22"/>
    <s v="3.35"/>
    <s v="3.85"/>
    <s v=""/>
    <s v=""/>
    <s v=""/>
  </r>
  <r>
    <s v="Brazil"/>
    <s v="Serie A"/>
    <n v="2024"/>
    <x v="123"/>
    <d v="1899-12-30T23:00:00"/>
    <x v="2"/>
    <s v="Cuiaba"/>
    <n v="1"/>
    <n v="0"/>
    <x v="1"/>
    <n v="138"/>
    <n v="468"/>
    <n v="1086"/>
    <n v="141"/>
    <n v="468"/>
    <n v="11"/>
    <n v="137"/>
    <n v="446"/>
    <n v="98"/>
    <s v="1.38"/>
    <s v="5"/>
    <s v="12.5"/>
    <s v=""/>
    <s v=""/>
    <s v=""/>
  </r>
  <r>
    <s v="Brazil"/>
    <s v="Serie A"/>
    <n v="2024"/>
    <x v="124"/>
    <d v="1899-12-30T19:00:00"/>
    <x v="13"/>
    <s v="Athletico-PR"/>
    <n v="1"/>
    <n v="0"/>
    <x v="1"/>
    <n v="209"/>
    <n v="306"/>
    <n v="427"/>
    <n v="214"/>
    <n v="33"/>
    <n v="427"/>
    <n v="207"/>
    <n v="309"/>
    <n v="399"/>
    <s v="2.12"/>
    <s v="3.2"/>
    <s v="4.5"/>
    <s v=""/>
    <s v=""/>
    <s v=""/>
  </r>
  <r>
    <s v="Brazil"/>
    <s v="Serie A"/>
    <n v="2024"/>
    <x v="124"/>
    <d v="1899-12-30T19:00:00"/>
    <x v="10"/>
    <s v="Atletico GO"/>
    <n v="2"/>
    <n v="0"/>
    <x v="1"/>
    <n v="142"/>
    <n v="488"/>
    <n v="744"/>
    <n v="146"/>
    <n v="5"/>
    <n v="75"/>
    <n v="142"/>
    <n v="472"/>
    <n v="709"/>
    <s v="1.46"/>
    <s v="5"/>
    <s v="8.2"/>
    <s v=""/>
    <s v=""/>
    <s v=""/>
  </r>
  <r>
    <s v="Brazil"/>
    <s v="Serie A"/>
    <n v="2024"/>
    <x v="124"/>
    <d v="1899-12-30T19:00:00"/>
    <x v="18"/>
    <s v="Sao Paulo"/>
    <n v="2"/>
    <n v="1"/>
    <x v="1"/>
    <n v="127"/>
    <n v="523"/>
    <n v="157"/>
    <n v="133"/>
    <n v="56"/>
    <n v="17"/>
    <n v="126"/>
    <n v="524"/>
    <n v="1376"/>
    <s v="1.29"/>
    <s v="5.8"/>
    <s v="18.5"/>
    <s v=""/>
    <s v=""/>
    <s v=""/>
  </r>
  <r>
    <s v="Brazil"/>
    <s v="Serie A"/>
    <n v="2024"/>
    <x v="124"/>
    <d v="1899-12-30T19:00:00"/>
    <x v="11"/>
    <s v="Criciuma"/>
    <n v="5"/>
    <n v="1"/>
    <x v="1"/>
    <n v="137"/>
    <n v="501"/>
    <n v="859"/>
    <n v="142"/>
    <n v="501"/>
    <n v="861"/>
    <n v="138"/>
    <n v="481"/>
    <n v="785"/>
    <s v="1.4"/>
    <s v="5.4"/>
    <s v="9.6"/>
    <s v=""/>
    <s v=""/>
    <s v=""/>
  </r>
  <r>
    <s v="Brazil"/>
    <s v="Serie A"/>
    <n v="2024"/>
    <x v="124"/>
    <d v="1899-12-30T19:00:00"/>
    <x v="19"/>
    <s v="Vasco"/>
    <n v="1"/>
    <n v="2"/>
    <x v="2"/>
    <n v="351"/>
    <n v="318"/>
    <n v="227"/>
    <n v="371"/>
    <n v="33"/>
    <n v="227"/>
    <n v="352"/>
    <n v="316"/>
    <n v="219"/>
    <s v="3.85"/>
    <s v="3.3"/>
    <s v="2.28"/>
    <s v=""/>
    <s v=""/>
    <s v=""/>
  </r>
  <r>
    <s v="Brazil"/>
    <s v="Serie A"/>
    <n v="2024"/>
    <x v="124"/>
    <d v="1899-12-30T19:00:00"/>
    <x v="17"/>
    <s v="Vitoria"/>
    <n v="2"/>
    <n v="2"/>
    <x v="0"/>
    <n v="138"/>
    <n v="52"/>
    <n v="793"/>
    <n v="14"/>
    <n v="53"/>
    <n v="825"/>
    <n v="137"/>
    <n v="502"/>
    <n v="766"/>
    <s v="1.41"/>
    <s v="5.4"/>
    <s v="9"/>
    <s v=""/>
    <s v=""/>
    <s v=""/>
  </r>
  <r>
    <s v="Brazil"/>
    <s v="Serie A"/>
    <n v="2024"/>
    <x v="124"/>
    <d v="1899-12-30T19:00:00"/>
    <x v="14"/>
    <s v="Internacional"/>
    <n v="3"/>
    <n v="0"/>
    <x v="1"/>
    <n v="262"/>
    <n v="324"/>
    <n v="288"/>
    <n v="265"/>
    <n v="325"/>
    <n v="29"/>
    <n v="259"/>
    <n v="318"/>
    <n v="28"/>
    <s v="2.7"/>
    <s v="3.35"/>
    <s v="2.96"/>
    <s v=""/>
    <s v=""/>
    <s v=""/>
  </r>
  <r>
    <s v="Brazil"/>
    <s v="Serie A"/>
    <n v="2024"/>
    <x v="124"/>
    <d v="1899-12-30T19:00:00"/>
    <x v="12"/>
    <s v="Corinthians"/>
    <n v="0"/>
    <n v="3"/>
    <x v="2"/>
    <n v="274"/>
    <n v="335"/>
    <n v="266"/>
    <n v="277"/>
    <n v="346"/>
    <n v="274"/>
    <n v="267"/>
    <n v="334"/>
    <n v="261"/>
    <s v="2.86"/>
    <s v="3.55"/>
    <s v="2.7"/>
    <s v=""/>
    <s v=""/>
    <s v=""/>
  </r>
  <r>
    <s v="Brazil"/>
    <s v="Serie A"/>
    <n v="2024"/>
    <x v="124"/>
    <d v="1899-12-30T19:00:00"/>
    <x v="15"/>
    <s v="Cruzeiro"/>
    <n v="0"/>
    <n v="1"/>
    <x v="2"/>
    <n v="213"/>
    <n v="342"/>
    <n v="359"/>
    <n v="221"/>
    <n v="347"/>
    <n v="359"/>
    <n v="213"/>
    <n v="337"/>
    <n v="344"/>
    <s v="2.2"/>
    <s v="3.55"/>
    <s v="3.75"/>
    <s v=""/>
    <s v=""/>
    <s v=""/>
  </r>
  <r>
    <s v="Brazil"/>
    <s v="Serie A"/>
    <n v="2024"/>
    <x v="124"/>
    <d v="1899-12-30T19:00:00"/>
    <x v="16"/>
    <s v="Fluminense"/>
    <n v="0"/>
    <n v="1"/>
    <x v="2"/>
    <n v="147"/>
    <n v="456"/>
    <n v="685"/>
    <n v="151"/>
    <n v="46"/>
    <n v="71"/>
    <n v="146"/>
    <n v="441"/>
    <n v="674"/>
    <s v="1.48"/>
    <s v="4.9"/>
    <s v="7.8"/>
    <s v="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C71A15-AA22-4640-A04C-82786C4FD0EA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5">
  <location ref="A2:B23" firstHeaderRow="1" firstDataRow="1" firstDataCol="1"/>
  <pivotFields count="25">
    <pivotField compact="0" outline="0" showAll="0"/>
    <pivotField compact="0" outline="0" showAll="0"/>
    <pivotField compact="0" outline="0" showAll="0"/>
    <pivotField compact="0" numFmtId="14" outline="0" showAll="0"/>
    <pivotField compact="0" numFmtId="164" outline="0" showAll="0"/>
    <pivotField axis="axisRow" compact="0" outline="0" showAll="0" sortType="descending">
      <items count="21">
        <item x="4"/>
        <item x="5"/>
        <item x="13"/>
        <item x="10"/>
        <item x="18"/>
        <item x="11"/>
        <item x="6"/>
        <item x="0"/>
        <item x="8"/>
        <item x="19"/>
        <item x="17"/>
        <item x="2"/>
        <item x="14"/>
        <item x="12"/>
        <item x="1"/>
        <item x="15"/>
        <item x="16"/>
        <item x="3"/>
        <item x="7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21">
    <i>
      <x v="6"/>
    </i>
    <i>
      <x v="16"/>
    </i>
    <i>
      <x v="12"/>
    </i>
    <i>
      <x v="4"/>
    </i>
    <i>
      <x v="17"/>
    </i>
    <i>
      <x v="14"/>
    </i>
    <i>
      <x v="10"/>
    </i>
    <i>
      <x v="18"/>
    </i>
    <i>
      <x v="8"/>
    </i>
    <i>
      <x v="2"/>
    </i>
    <i>
      <x v="5"/>
    </i>
    <i>
      <x v="15"/>
    </i>
    <i>
      <x v="13"/>
    </i>
    <i>
      <x v="3"/>
    </i>
    <i>
      <x/>
    </i>
    <i>
      <x v="19"/>
    </i>
    <i>
      <x v="7"/>
    </i>
    <i>
      <x v="11"/>
    </i>
    <i>
      <x v="1"/>
    </i>
    <i>
      <x v="9"/>
    </i>
    <i t="grand">
      <x/>
    </i>
  </rowItems>
  <colItems count="1">
    <i/>
  </colItems>
  <dataFields count="1">
    <dataField name="Soma de HG" fld="7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542C27-6EC0-4C42-AD5D-436D84ED26F5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6">
  <location ref="A2:C23" firstHeaderRow="0" firstDataRow="1" firstDataCol="1"/>
  <pivotFields count="25">
    <pivotField compact="0" outline="0" showAll="0"/>
    <pivotField compact="0" outline="0" showAll="0"/>
    <pivotField compact="0" outline="0" showAll="0"/>
    <pivotField compact="0" numFmtId="14" outline="0" showAll="0"/>
    <pivotField compact="0" numFmtId="164" outline="0" showAll="0"/>
    <pivotField axis="axisRow" compact="0" outline="0" showAll="0" sortType="descending">
      <items count="21">
        <item x="9"/>
        <item x="7"/>
        <item x="3"/>
        <item x="16"/>
        <item x="15"/>
        <item x="1"/>
        <item x="12"/>
        <item x="14"/>
        <item x="2"/>
        <item x="17"/>
        <item x="19"/>
        <item x="8"/>
        <item x="0"/>
        <item x="6"/>
        <item x="11"/>
        <item x="18"/>
        <item x="10"/>
        <item x="13"/>
        <item x="5"/>
        <item x="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21">
    <i>
      <x v="13"/>
    </i>
    <i>
      <x v="3"/>
    </i>
    <i>
      <x v="7"/>
    </i>
    <i>
      <x v="2"/>
    </i>
    <i>
      <x v="15"/>
    </i>
    <i>
      <x v="5"/>
    </i>
    <i>
      <x v="9"/>
    </i>
    <i>
      <x v="11"/>
    </i>
    <i>
      <x v="1"/>
    </i>
    <i>
      <x v="4"/>
    </i>
    <i>
      <x v="17"/>
    </i>
    <i>
      <x v="14"/>
    </i>
    <i>
      <x v="6"/>
    </i>
    <i>
      <x v="16"/>
    </i>
    <i>
      <x v="19"/>
    </i>
    <i>
      <x/>
    </i>
    <i>
      <x v="12"/>
    </i>
    <i>
      <x v="8"/>
    </i>
    <i>
      <x v="18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Gols Sofridos" fld="8" baseField="0" baseItem="0"/>
    <dataField name="Gols Marcados" fld="7" baseField="0" baseItem="0"/>
  </dataFields>
  <formats count="6"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5" type="button" dataOnly="0" labelOnly="1" outline="0" axis="axisRow" fieldPosition="0"/>
    </format>
    <format dxfId="12">
      <pivotArea dataOnly="0" labelOnly="1" outline="0" fieldPosition="0">
        <references count="1">
          <reference field="5" count="0"/>
        </references>
      </pivotArea>
    </format>
    <format dxfId="11">
      <pivotArea dataOnly="0" labelOnly="1" grandRow="1" outline="0" fieldPosition="0"/>
    </format>
    <format dxfId="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150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9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1"/>
          </reference>
          <reference field="5" count="1" selected="0">
            <x v="19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18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1"/>
          </reference>
          <reference field="5" count="1" selected="0">
            <x v="17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17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1"/>
          </reference>
          <reference field="5" count="1" selected="0">
            <x v="16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6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1"/>
          </reference>
          <reference field="5" count="1" selected="0">
            <x v="14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1"/>
          </reference>
          <reference field="5" count="1" selected="0">
            <x v="13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1"/>
          </reference>
          <reference field="5" count="1" selected="0">
            <x v="12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1" format="16">
      <pivotArea type="data" outline="0" fieldPosition="0">
        <references count="2">
          <reference field="4294967294" count="1" selected="0">
            <x v="1"/>
          </reference>
          <reference field="5" count="1" selected="0">
            <x v="11"/>
          </reference>
        </references>
      </pivotArea>
    </chartFormat>
    <chartFormat chart="1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1" format="18">
      <pivotArea type="data" outline="0" fieldPosition="0">
        <references count="2">
          <reference field="4294967294" count="1" selected="0">
            <x v="1"/>
          </reference>
          <reference field="5" count="1" selected="0">
            <x v="10"/>
          </reference>
        </references>
      </pivotArea>
    </chartFormat>
    <chartFormat chart="1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1" format="20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1"/>
          </reference>
          <reference field="5" count="1" selected="0">
            <x v="9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1"/>
          </reference>
          <reference field="5" count="1" selected="0">
            <x v="8"/>
          </reference>
        </references>
      </pivotArea>
    </chartFormat>
    <chartFormat chart="1" format="23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" format="24">
      <pivotArea type="data" outline="0" fieldPosition="0">
        <references count="2">
          <reference field="4294967294" count="1" selected="0">
            <x v="1"/>
          </reference>
          <reference field="5" count="1" selected="0">
            <x v="7"/>
          </reference>
        </references>
      </pivotArea>
    </chartFormat>
    <chartFormat chart="1" format="25">
      <pivotArea type="data" outline="0" fieldPosition="0">
        <references count="2">
          <reference field="4294967294" count="1" selected="0">
            <x v="1"/>
          </reference>
          <reference field="5" count="1" selected="0">
            <x v="6"/>
          </reference>
        </references>
      </pivotArea>
    </chartFormat>
    <chartFormat chart="1" format="26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1" format="27">
      <pivotArea type="data" outline="0" fieldPosition="0">
        <references count="2">
          <reference field="4294967294" count="1" selected="0">
            <x v="1"/>
          </reference>
          <reference field="5" count="1" selected="0">
            <x v="5"/>
          </reference>
        </references>
      </pivotArea>
    </chartFormat>
    <chartFormat chart="1" format="28">
      <pivotArea type="data" outline="0" fieldPosition="0">
        <references count="2">
          <reference field="4294967294" count="1" selected="0">
            <x v="1"/>
          </reference>
          <reference field="5" count="1" selected="0">
            <x v="0"/>
          </reference>
        </references>
      </pivotArea>
    </chartFormat>
    <chartFormat chart="1" format="29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2" format="32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2" format="33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2" format="34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2" format="35">
      <pivotArea type="data" outline="0" fieldPosition="0">
        <references count="2">
          <reference field="4294967294" count="1" selected="0">
            <x v="0"/>
          </reference>
          <reference field="5" count="1" selected="0">
            <x v="17"/>
          </reference>
        </references>
      </pivotArea>
    </chartFormat>
    <chartFormat chart="2" format="36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2" format="37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2" format="38">
      <pivotArea type="data" outline="0" fieldPosition="0">
        <references count="2">
          <reference field="4294967294" count="1" selected="0">
            <x v="0"/>
          </reference>
          <reference field="5" count="1" selected="0">
            <x v="16"/>
          </reference>
        </references>
      </pivotArea>
    </chartFormat>
    <chartFormat chart="2" format="39">
      <pivotArea type="data" outline="0" fieldPosition="0">
        <references count="2">
          <reference field="4294967294" count="1" selected="0">
            <x v="0"/>
          </reference>
          <reference field="5" count="1" selected="0">
            <x v="19"/>
          </reference>
        </references>
      </pivotArea>
    </chartFormat>
    <chartFormat chart="2" format="40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4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2" format="42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2" format="43">
      <pivotArea type="data" outline="0" fieldPosition="0">
        <references count="2">
          <reference field="4294967294" count="1" selected="0">
            <x v="0"/>
          </reference>
          <reference field="5" count="1" selected="0">
            <x v="18"/>
          </reference>
        </references>
      </pivotArea>
    </chartFormat>
    <chartFormat chart="2" format="44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2" format="4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6">
      <pivotArea type="data" outline="0" fieldPosition="0">
        <references count="2">
          <reference field="4294967294" count="1" selected="0">
            <x v="1"/>
          </reference>
          <reference field="5" count="1" selected="0">
            <x v="13"/>
          </reference>
        </references>
      </pivotArea>
    </chartFormat>
    <chartFormat chart="2" format="47">
      <pivotArea type="data" outline="0" fieldPosition="0">
        <references count="2">
          <reference field="4294967294" count="1" selected="0">
            <x v="1"/>
          </reference>
          <reference field="5" count="1" selected="0">
            <x v="7"/>
          </reference>
        </references>
      </pivotArea>
    </chartFormat>
    <chartFormat chart="2" format="48">
      <pivotArea type="data" outline="0" fieldPosition="0">
        <references count="2">
          <reference field="4294967294" count="1" selected="0">
            <x v="1"/>
          </reference>
          <reference field="5" count="1" selected="0">
            <x v="5"/>
          </reference>
        </references>
      </pivotArea>
    </chartFormat>
    <chartFormat chart="2" format="49">
      <pivotArea type="data" outline="0" fieldPosition="0">
        <references count="2">
          <reference field="4294967294" count="1" selected="0">
            <x v="1"/>
          </reference>
          <reference field="5" count="1" selected="0">
            <x v="9"/>
          </reference>
        </references>
      </pivotArea>
    </chartFormat>
    <chartFormat chart="2" format="50">
      <pivotArea type="data" outline="0" fieldPosition="0">
        <references count="2">
          <reference field="4294967294" count="1" selected="0">
            <x v="1"/>
          </reference>
          <reference field="5" count="1" selected="0">
            <x v="11"/>
          </reference>
        </references>
      </pivotArea>
    </chartFormat>
    <chartFormat chart="2" format="51">
      <pivotArea type="data" outline="0" fieldPosition="0">
        <references count="2">
          <reference field="4294967294" count="1" selected="0">
            <x v="1"/>
          </reference>
          <reference field="5" count="1" selected="0">
            <x v="17"/>
          </reference>
        </references>
      </pivotArea>
    </chartFormat>
    <chartFormat chart="2" format="52">
      <pivotArea type="data" outline="0" fieldPosition="0">
        <references count="2">
          <reference field="4294967294" count="1" selected="0">
            <x v="1"/>
          </reference>
          <reference field="5" count="1" selected="0">
            <x v="14"/>
          </reference>
        </references>
      </pivotArea>
    </chartFormat>
    <chartFormat chart="2" format="53">
      <pivotArea type="data" outline="0" fieldPosition="0">
        <references count="2">
          <reference field="4294967294" count="1" selected="0">
            <x v="1"/>
          </reference>
          <reference field="5" count="1" selected="0">
            <x v="6"/>
          </reference>
        </references>
      </pivotArea>
    </chartFormat>
    <chartFormat chart="2" format="54">
      <pivotArea type="data" outline="0" fieldPosition="0">
        <references count="2">
          <reference field="4294967294" count="1" selected="0">
            <x v="1"/>
          </reference>
          <reference field="5" count="1" selected="0">
            <x v="16"/>
          </reference>
        </references>
      </pivotArea>
    </chartFormat>
    <chartFormat chart="2" format="55">
      <pivotArea type="data" outline="0" fieldPosition="0">
        <references count="2">
          <reference field="4294967294" count="1" selected="0">
            <x v="1"/>
          </reference>
          <reference field="5" count="1" selected="0">
            <x v="19"/>
          </reference>
        </references>
      </pivotArea>
    </chartFormat>
    <chartFormat chart="2" format="56">
      <pivotArea type="data" outline="0" fieldPosition="0">
        <references count="2">
          <reference field="4294967294" count="1" selected="0">
            <x v="1"/>
          </reference>
          <reference field="5" count="1" selected="0">
            <x v="0"/>
          </reference>
        </references>
      </pivotArea>
    </chartFormat>
    <chartFormat chart="2" format="57">
      <pivotArea type="data" outline="0" fieldPosition="0">
        <references count="2">
          <reference field="4294967294" count="1" selected="0">
            <x v="1"/>
          </reference>
          <reference field="5" count="1" selected="0">
            <x v="12"/>
          </reference>
        </references>
      </pivotArea>
    </chartFormat>
    <chartFormat chart="2" format="58">
      <pivotArea type="data" outline="0" fieldPosition="0">
        <references count="2">
          <reference field="4294967294" count="1" selected="0">
            <x v="1"/>
          </reference>
          <reference field="5" count="1" selected="0">
            <x v="8"/>
          </reference>
        </references>
      </pivotArea>
    </chartFormat>
    <chartFormat chart="2" format="59">
      <pivotArea type="data" outline="0" fieldPosition="0">
        <references count="2">
          <reference field="4294967294" count="1" selected="0">
            <x v="1"/>
          </reference>
          <reference field="5" count="1" selected="0">
            <x v="10"/>
          </reference>
        </references>
      </pivotArea>
    </chartFormat>
    <chartFormat chart="3" format="6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3" format="62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3" format="63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3" format="64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3" format="65">
      <pivotArea type="data" outline="0" fieldPosition="0">
        <references count="2">
          <reference field="4294967294" count="1" selected="0">
            <x v="0"/>
          </reference>
          <reference field="5" count="1" selected="0">
            <x v="17"/>
          </reference>
        </references>
      </pivotArea>
    </chartFormat>
    <chartFormat chart="3" format="66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3" format="67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3" format="68">
      <pivotArea type="data" outline="0" fieldPosition="0">
        <references count="2">
          <reference field="4294967294" count="1" selected="0">
            <x v="0"/>
          </reference>
          <reference field="5" count="1" selected="0">
            <x v="16"/>
          </reference>
        </references>
      </pivotArea>
    </chartFormat>
    <chartFormat chart="3" format="69">
      <pivotArea type="data" outline="0" fieldPosition="0">
        <references count="2">
          <reference field="4294967294" count="1" selected="0">
            <x v="0"/>
          </reference>
          <reference field="5" count="1" selected="0">
            <x v="19"/>
          </reference>
        </references>
      </pivotArea>
    </chartFormat>
    <chartFormat chart="3" format="70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7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3" format="72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3" format="73">
      <pivotArea type="data" outline="0" fieldPosition="0">
        <references count="2">
          <reference field="4294967294" count="1" selected="0">
            <x v="0"/>
          </reference>
          <reference field="5" count="1" selected="0">
            <x v="18"/>
          </reference>
        </references>
      </pivotArea>
    </chartFormat>
    <chartFormat chart="3" format="74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3" format="7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76">
      <pivotArea type="data" outline="0" fieldPosition="0">
        <references count="2">
          <reference field="4294967294" count="1" selected="0">
            <x v="1"/>
          </reference>
          <reference field="5" count="1" selected="0">
            <x v="13"/>
          </reference>
        </references>
      </pivotArea>
    </chartFormat>
    <chartFormat chart="3" format="77">
      <pivotArea type="data" outline="0" fieldPosition="0">
        <references count="2">
          <reference field="4294967294" count="1" selected="0">
            <x v="1"/>
          </reference>
          <reference field="5" count="1" selected="0">
            <x v="7"/>
          </reference>
        </references>
      </pivotArea>
    </chartFormat>
    <chartFormat chart="3" format="78">
      <pivotArea type="data" outline="0" fieldPosition="0">
        <references count="2">
          <reference field="4294967294" count="1" selected="0">
            <x v="1"/>
          </reference>
          <reference field="5" count="1" selected="0">
            <x v="5"/>
          </reference>
        </references>
      </pivotArea>
    </chartFormat>
    <chartFormat chart="3" format="79">
      <pivotArea type="data" outline="0" fieldPosition="0">
        <references count="2">
          <reference field="4294967294" count="1" selected="0">
            <x v="1"/>
          </reference>
          <reference field="5" count="1" selected="0">
            <x v="9"/>
          </reference>
        </references>
      </pivotArea>
    </chartFormat>
    <chartFormat chart="3" format="80">
      <pivotArea type="data" outline="0" fieldPosition="0">
        <references count="2">
          <reference field="4294967294" count="1" selected="0">
            <x v="1"/>
          </reference>
          <reference field="5" count="1" selected="0">
            <x v="11"/>
          </reference>
        </references>
      </pivotArea>
    </chartFormat>
    <chartFormat chart="3" format="81">
      <pivotArea type="data" outline="0" fieldPosition="0">
        <references count="2">
          <reference field="4294967294" count="1" selected="0">
            <x v="1"/>
          </reference>
          <reference field="5" count="1" selected="0">
            <x v="17"/>
          </reference>
        </references>
      </pivotArea>
    </chartFormat>
    <chartFormat chart="3" format="82">
      <pivotArea type="data" outline="0" fieldPosition="0">
        <references count="2">
          <reference field="4294967294" count="1" selected="0">
            <x v="1"/>
          </reference>
          <reference field="5" count="1" selected="0">
            <x v="14"/>
          </reference>
        </references>
      </pivotArea>
    </chartFormat>
    <chartFormat chart="3" format="83">
      <pivotArea type="data" outline="0" fieldPosition="0">
        <references count="2">
          <reference field="4294967294" count="1" selected="0">
            <x v="1"/>
          </reference>
          <reference field="5" count="1" selected="0">
            <x v="6"/>
          </reference>
        </references>
      </pivotArea>
    </chartFormat>
    <chartFormat chart="3" format="84">
      <pivotArea type="data" outline="0" fieldPosition="0">
        <references count="2">
          <reference field="4294967294" count="1" selected="0">
            <x v="1"/>
          </reference>
          <reference field="5" count="1" selected="0">
            <x v="16"/>
          </reference>
        </references>
      </pivotArea>
    </chartFormat>
    <chartFormat chart="3" format="85">
      <pivotArea type="data" outline="0" fieldPosition="0">
        <references count="2">
          <reference field="4294967294" count="1" selected="0">
            <x v="1"/>
          </reference>
          <reference field="5" count="1" selected="0">
            <x v="19"/>
          </reference>
        </references>
      </pivotArea>
    </chartFormat>
    <chartFormat chart="3" format="86">
      <pivotArea type="data" outline="0" fieldPosition="0">
        <references count="2">
          <reference field="4294967294" count="1" selected="0">
            <x v="1"/>
          </reference>
          <reference field="5" count="1" selected="0">
            <x v="0"/>
          </reference>
        </references>
      </pivotArea>
    </chartFormat>
    <chartFormat chart="3" format="87">
      <pivotArea type="data" outline="0" fieldPosition="0">
        <references count="2">
          <reference field="4294967294" count="1" selected="0">
            <x v="1"/>
          </reference>
          <reference field="5" count="1" selected="0">
            <x v="12"/>
          </reference>
        </references>
      </pivotArea>
    </chartFormat>
    <chartFormat chart="3" format="88">
      <pivotArea type="data" outline="0" fieldPosition="0">
        <references count="2">
          <reference field="4294967294" count="1" selected="0">
            <x v="1"/>
          </reference>
          <reference field="5" count="1" selected="0">
            <x v="8"/>
          </reference>
        </references>
      </pivotArea>
    </chartFormat>
    <chartFormat chart="3" format="89">
      <pivotArea type="data" outline="0" fieldPosition="0">
        <references count="2">
          <reference field="4294967294" count="1" selected="0">
            <x v="1"/>
          </reference>
          <reference field="5" count="1" selected="0">
            <x v="10"/>
          </reference>
        </references>
      </pivotArea>
    </chartFormat>
    <chartFormat chart="4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4" format="92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4" format="93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4" format="94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4" format="95">
      <pivotArea type="data" outline="0" fieldPosition="0">
        <references count="2">
          <reference field="4294967294" count="1" selected="0">
            <x v="0"/>
          </reference>
          <reference field="5" count="1" selected="0">
            <x v="17"/>
          </reference>
        </references>
      </pivotArea>
    </chartFormat>
    <chartFormat chart="4" format="96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4" format="97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4" format="98">
      <pivotArea type="data" outline="0" fieldPosition="0">
        <references count="2">
          <reference field="4294967294" count="1" selected="0">
            <x v="0"/>
          </reference>
          <reference field="5" count="1" selected="0">
            <x v="16"/>
          </reference>
        </references>
      </pivotArea>
    </chartFormat>
    <chartFormat chart="4" format="99">
      <pivotArea type="data" outline="0" fieldPosition="0">
        <references count="2">
          <reference field="4294967294" count="1" selected="0">
            <x v="0"/>
          </reference>
          <reference field="5" count="1" selected="0">
            <x v="19"/>
          </reference>
        </references>
      </pivotArea>
    </chartFormat>
    <chartFormat chart="4" format="100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10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4" format="102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4" format="103">
      <pivotArea type="data" outline="0" fieldPosition="0">
        <references count="2">
          <reference field="4294967294" count="1" selected="0">
            <x v="0"/>
          </reference>
          <reference field="5" count="1" selected="0">
            <x v="18"/>
          </reference>
        </references>
      </pivotArea>
    </chartFormat>
    <chartFormat chart="4" format="104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4" format="10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06">
      <pivotArea type="data" outline="0" fieldPosition="0">
        <references count="2">
          <reference field="4294967294" count="1" selected="0">
            <x v="1"/>
          </reference>
          <reference field="5" count="1" selected="0">
            <x v="13"/>
          </reference>
        </references>
      </pivotArea>
    </chartFormat>
    <chartFormat chart="4" format="107">
      <pivotArea type="data" outline="0" fieldPosition="0">
        <references count="2">
          <reference field="4294967294" count="1" selected="0">
            <x v="1"/>
          </reference>
          <reference field="5" count="1" selected="0">
            <x v="7"/>
          </reference>
        </references>
      </pivotArea>
    </chartFormat>
    <chartFormat chart="4" format="108">
      <pivotArea type="data" outline="0" fieldPosition="0">
        <references count="2">
          <reference field="4294967294" count="1" selected="0">
            <x v="1"/>
          </reference>
          <reference field="5" count="1" selected="0">
            <x v="5"/>
          </reference>
        </references>
      </pivotArea>
    </chartFormat>
    <chartFormat chart="4" format="109">
      <pivotArea type="data" outline="0" fieldPosition="0">
        <references count="2">
          <reference field="4294967294" count="1" selected="0">
            <x v="1"/>
          </reference>
          <reference field="5" count="1" selected="0">
            <x v="9"/>
          </reference>
        </references>
      </pivotArea>
    </chartFormat>
    <chartFormat chart="4" format="110">
      <pivotArea type="data" outline="0" fieldPosition="0">
        <references count="2">
          <reference field="4294967294" count="1" selected="0">
            <x v="1"/>
          </reference>
          <reference field="5" count="1" selected="0">
            <x v="11"/>
          </reference>
        </references>
      </pivotArea>
    </chartFormat>
    <chartFormat chart="4" format="111">
      <pivotArea type="data" outline="0" fieldPosition="0">
        <references count="2">
          <reference field="4294967294" count="1" selected="0">
            <x v="1"/>
          </reference>
          <reference field="5" count="1" selected="0">
            <x v="17"/>
          </reference>
        </references>
      </pivotArea>
    </chartFormat>
    <chartFormat chart="4" format="112">
      <pivotArea type="data" outline="0" fieldPosition="0">
        <references count="2">
          <reference field="4294967294" count="1" selected="0">
            <x v="1"/>
          </reference>
          <reference field="5" count="1" selected="0">
            <x v="14"/>
          </reference>
        </references>
      </pivotArea>
    </chartFormat>
    <chartFormat chart="4" format="113">
      <pivotArea type="data" outline="0" fieldPosition="0">
        <references count="2">
          <reference field="4294967294" count="1" selected="0">
            <x v="1"/>
          </reference>
          <reference field="5" count="1" selected="0">
            <x v="6"/>
          </reference>
        </references>
      </pivotArea>
    </chartFormat>
    <chartFormat chart="4" format="114">
      <pivotArea type="data" outline="0" fieldPosition="0">
        <references count="2">
          <reference field="4294967294" count="1" selected="0">
            <x v="1"/>
          </reference>
          <reference field="5" count="1" selected="0">
            <x v="16"/>
          </reference>
        </references>
      </pivotArea>
    </chartFormat>
    <chartFormat chart="4" format="115">
      <pivotArea type="data" outline="0" fieldPosition="0">
        <references count="2">
          <reference field="4294967294" count="1" selected="0">
            <x v="1"/>
          </reference>
          <reference field="5" count="1" selected="0">
            <x v="19"/>
          </reference>
        </references>
      </pivotArea>
    </chartFormat>
    <chartFormat chart="4" format="116">
      <pivotArea type="data" outline="0" fieldPosition="0">
        <references count="2">
          <reference field="4294967294" count="1" selected="0">
            <x v="1"/>
          </reference>
          <reference field="5" count="1" selected="0">
            <x v="0"/>
          </reference>
        </references>
      </pivotArea>
    </chartFormat>
    <chartFormat chart="4" format="117">
      <pivotArea type="data" outline="0" fieldPosition="0">
        <references count="2">
          <reference field="4294967294" count="1" selected="0">
            <x v="1"/>
          </reference>
          <reference field="5" count="1" selected="0">
            <x v="12"/>
          </reference>
        </references>
      </pivotArea>
    </chartFormat>
    <chartFormat chart="4" format="118">
      <pivotArea type="data" outline="0" fieldPosition="0">
        <references count="2">
          <reference field="4294967294" count="1" selected="0">
            <x v="1"/>
          </reference>
          <reference field="5" count="1" selected="0">
            <x v="8"/>
          </reference>
        </references>
      </pivotArea>
    </chartFormat>
    <chartFormat chart="4" format="119">
      <pivotArea type="data" outline="0" fieldPosition="0">
        <references count="2">
          <reference field="4294967294" count="1" selected="0">
            <x v="1"/>
          </reference>
          <reference field="5" count="1" selected="0">
            <x v="10"/>
          </reference>
        </references>
      </pivotArea>
    </chartFormat>
    <chartFormat chart="5" format="1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2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5" format="122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5" format="123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5" format="124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5" format="125">
      <pivotArea type="data" outline="0" fieldPosition="0">
        <references count="2">
          <reference field="4294967294" count="1" selected="0">
            <x v="0"/>
          </reference>
          <reference field="5" count="1" selected="0">
            <x v="17"/>
          </reference>
        </references>
      </pivotArea>
    </chartFormat>
    <chartFormat chart="5" format="126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5" format="127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5" format="128">
      <pivotArea type="data" outline="0" fieldPosition="0">
        <references count="2">
          <reference field="4294967294" count="1" selected="0">
            <x v="0"/>
          </reference>
          <reference field="5" count="1" selected="0">
            <x v="16"/>
          </reference>
        </references>
      </pivotArea>
    </chartFormat>
    <chartFormat chart="5" format="129">
      <pivotArea type="data" outline="0" fieldPosition="0">
        <references count="2">
          <reference field="4294967294" count="1" selected="0">
            <x v="0"/>
          </reference>
          <reference field="5" count="1" selected="0">
            <x v="19"/>
          </reference>
        </references>
      </pivotArea>
    </chartFormat>
    <chartFormat chart="5" format="130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5" format="13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5" format="132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5" format="133">
      <pivotArea type="data" outline="0" fieldPosition="0">
        <references count="2">
          <reference field="4294967294" count="1" selected="0">
            <x v="0"/>
          </reference>
          <reference field="5" count="1" selected="0">
            <x v="18"/>
          </reference>
        </references>
      </pivotArea>
    </chartFormat>
    <chartFormat chart="5" format="134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5" format="13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36">
      <pivotArea type="data" outline="0" fieldPosition="0">
        <references count="2">
          <reference field="4294967294" count="1" selected="0">
            <x v="1"/>
          </reference>
          <reference field="5" count="1" selected="0">
            <x v="13"/>
          </reference>
        </references>
      </pivotArea>
    </chartFormat>
    <chartFormat chart="5" format="137">
      <pivotArea type="data" outline="0" fieldPosition="0">
        <references count="2">
          <reference field="4294967294" count="1" selected="0">
            <x v="1"/>
          </reference>
          <reference field="5" count="1" selected="0">
            <x v="7"/>
          </reference>
        </references>
      </pivotArea>
    </chartFormat>
    <chartFormat chart="5" format="138">
      <pivotArea type="data" outline="0" fieldPosition="0">
        <references count="2">
          <reference field="4294967294" count="1" selected="0">
            <x v="1"/>
          </reference>
          <reference field="5" count="1" selected="0">
            <x v="5"/>
          </reference>
        </references>
      </pivotArea>
    </chartFormat>
    <chartFormat chart="5" format="139">
      <pivotArea type="data" outline="0" fieldPosition="0">
        <references count="2">
          <reference field="4294967294" count="1" selected="0">
            <x v="1"/>
          </reference>
          <reference field="5" count="1" selected="0">
            <x v="9"/>
          </reference>
        </references>
      </pivotArea>
    </chartFormat>
    <chartFormat chart="5" format="140">
      <pivotArea type="data" outline="0" fieldPosition="0">
        <references count="2">
          <reference field="4294967294" count="1" selected="0">
            <x v="1"/>
          </reference>
          <reference field="5" count="1" selected="0">
            <x v="11"/>
          </reference>
        </references>
      </pivotArea>
    </chartFormat>
    <chartFormat chart="5" format="141">
      <pivotArea type="data" outline="0" fieldPosition="0">
        <references count="2">
          <reference field="4294967294" count="1" selected="0">
            <x v="1"/>
          </reference>
          <reference field="5" count="1" selected="0">
            <x v="17"/>
          </reference>
        </references>
      </pivotArea>
    </chartFormat>
    <chartFormat chart="5" format="142">
      <pivotArea type="data" outline="0" fieldPosition="0">
        <references count="2">
          <reference field="4294967294" count="1" selected="0">
            <x v="1"/>
          </reference>
          <reference field="5" count="1" selected="0">
            <x v="14"/>
          </reference>
        </references>
      </pivotArea>
    </chartFormat>
    <chartFormat chart="5" format="143">
      <pivotArea type="data" outline="0" fieldPosition="0">
        <references count="2">
          <reference field="4294967294" count="1" selected="0">
            <x v="1"/>
          </reference>
          <reference field="5" count="1" selected="0">
            <x v="6"/>
          </reference>
        </references>
      </pivotArea>
    </chartFormat>
    <chartFormat chart="5" format="144">
      <pivotArea type="data" outline="0" fieldPosition="0">
        <references count="2">
          <reference field="4294967294" count="1" selected="0">
            <x v="1"/>
          </reference>
          <reference field="5" count="1" selected="0">
            <x v="16"/>
          </reference>
        </references>
      </pivotArea>
    </chartFormat>
    <chartFormat chart="5" format="145">
      <pivotArea type="data" outline="0" fieldPosition="0">
        <references count="2">
          <reference field="4294967294" count="1" selected="0">
            <x v="1"/>
          </reference>
          <reference field="5" count="1" selected="0">
            <x v="19"/>
          </reference>
        </references>
      </pivotArea>
    </chartFormat>
    <chartFormat chart="5" format="146">
      <pivotArea type="data" outline="0" fieldPosition="0">
        <references count="2">
          <reference field="4294967294" count="1" selected="0">
            <x v="1"/>
          </reference>
          <reference field="5" count="1" selected="0">
            <x v="0"/>
          </reference>
        </references>
      </pivotArea>
    </chartFormat>
    <chartFormat chart="5" format="147">
      <pivotArea type="data" outline="0" fieldPosition="0">
        <references count="2">
          <reference field="4294967294" count="1" selected="0">
            <x v="1"/>
          </reference>
          <reference field="5" count="1" selected="0">
            <x v="12"/>
          </reference>
        </references>
      </pivotArea>
    </chartFormat>
    <chartFormat chart="5" format="148">
      <pivotArea type="data" outline="0" fieldPosition="0">
        <references count="2">
          <reference field="4294967294" count="1" selected="0">
            <x v="1"/>
          </reference>
          <reference field="5" count="1" selected="0">
            <x v="8"/>
          </reference>
        </references>
      </pivotArea>
    </chartFormat>
    <chartFormat chart="5" format="149">
      <pivotArea type="data" outline="0" fieldPosition="0">
        <references count="2">
          <reference field="4294967294" count="1" selected="0">
            <x v="1"/>
          </reference>
          <reference field="5" count="1" selected="0">
            <x v="10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932E8D-127A-4B9A-9B78-269D4784033F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5">
  <location ref="A2:E24" firstHeaderRow="1" firstDataRow="2" firstDataCol="1"/>
  <pivotFields count="25">
    <pivotField compact="0" outline="0" showAll="0"/>
    <pivotField compact="0" outline="0" showAll="0"/>
    <pivotField compact="0" outline="0" showAll="0"/>
    <pivotField compact="0" numFmtId="14" outline="0" showAll="0"/>
    <pivotField compact="0" numFmtId="164" outline="0" showAll="0"/>
    <pivotField axis="axisRow" compact="0" outline="0" showAll="0">
      <items count="21">
        <item x="4"/>
        <item x="5"/>
        <item x="13"/>
        <item x="10"/>
        <item x="18"/>
        <item x="11"/>
        <item x="6"/>
        <item x="0"/>
        <item x="8"/>
        <item x="19"/>
        <item x="17"/>
        <item x="2"/>
        <item x="14"/>
        <item x="12"/>
        <item x="1"/>
        <item x="15"/>
        <item x="16"/>
        <item x="3"/>
        <item x="7"/>
        <item x="9"/>
        <item t="default"/>
      </items>
    </pivotField>
    <pivotField compact="0" outline="0" showAll="0"/>
    <pivotField compact="0" outline="0" showAll="0"/>
    <pivotField compact="0" outline="0" showAll="0"/>
    <pivotField name="Resultados" axis="axisCol" dataField="1" compact="0" outline="0" showAll="0">
      <items count="4">
        <item n="Derrotas" x="2"/>
        <item n="Empates" x="0"/>
        <item n="Vitórias"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Contagem de Resultados" fld="9" subtotal="count" baseField="0" baseItem="0"/>
  </dataFields>
  <formats count="10"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9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5" type="button" dataOnly="0" labelOnly="1" outline="0" axis="axisRow" fieldPosition="0"/>
    </format>
    <format dxfId="3">
      <pivotArea dataOnly="0" labelOnly="1" outline="0" fieldPosition="0">
        <references count="1">
          <reference field="5" count="0"/>
        </references>
      </pivotArea>
    </format>
    <format dxfId="2">
      <pivotArea dataOnly="0" labelOnly="1" grandRow="1" outline="0" fieldPosition="0"/>
    </format>
    <format dxfId="1">
      <pivotArea dataOnly="0" labelOnly="1" outline="0" fieldPosition="0">
        <references count="1">
          <reference field="9" count="0"/>
        </references>
      </pivotArea>
    </format>
    <format dxfId="0">
      <pivotArea dataOnly="0" labelOnly="1" grandCol="1" outline="0" fieldPosition="0"/>
    </format>
  </formats>
  <chartFormats count="1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C6B0E6-171A-43E7-9658-A865E533692B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7">
  <location ref="A2:C13" firstHeaderRow="0" firstDataRow="1" firstDataCol="1"/>
  <pivotFields count="25">
    <pivotField compact="0" outline="0" showAll="0"/>
    <pivotField compact="0" outline="0" showAll="0"/>
    <pivotField compact="0" outline="0" showAll="0"/>
    <pivotField axis="axisRow" compact="0" numFmtId="14" outline="0" showAll="0" measureFilter="1" sortType="descending">
      <items count="1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64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11">
    <i>
      <x v="124"/>
    </i>
    <i>
      <x v="42"/>
    </i>
    <i>
      <x v="78"/>
    </i>
    <i>
      <x v="98"/>
    </i>
    <i>
      <x v="32"/>
    </i>
    <i>
      <x v="26"/>
    </i>
    <i>
      <x v="74"/>
    </i>
    <i>
      <x v="1"/>
    </i>
    <i>
      <x v="40"/>
    </i>
    <i>
      <x v="6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HG" fld="7" baseField="0" baseItem="0"/>
    <dataField name="Soma de AG" fld="8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D4D87FE5-4AE5-4152-9520-AE74D6501C03}" autoFormatId="16" applyNumberFormats="0" applyBorderFormats="0" applyFontFormats="0" applyPatternFormats="0" applyAlignmentFormats="0" applyWidthHeightFormats="0">
  <queryTableRefresh nextId="26">
    <queryTableFields count="25">
      <queryTableField id="1" name="Country" tableColumnId="1"/>
      <queryTableField id="2" name="League" tableColumnId="2"/>
      <queryTableField id="3" name="Season" tableColumnId="3"/>
      <queryTableField id="4" name="Date" tableColumnId="4"/>
      <queryTableField id="5" name="Time" tableColumnId="5"/>
      <queryTableField id="6" name="Home" tableColumnId="6"/>
      <queryTableField id="7" name="Away" tableColumnId="7"/>
      <queryTableField id="8" name="HG" tableColumnId="8"/>
      <queryTableField id="9" name="AG" tableColumnId="9"/>
      <queryTableField id="10" name="Res" tableColumnId="10"/>
      <queryTableField id="11" name="PSCH" tableColumnId="11"/>
      <queryTableField id="12" name="PSCD" tableColumnId="12"/>
      <queryTableField id="13" name="PSCA" tableColumnId="13"/>
      <queryTableField id="14" name="MaxCH" tableColumnId="14"/>
      <queryTableField id="15" name="MaxCD" tableColumnId="15"/>
      <queryTableField id="16" name="MaxCA" tableColumnId="16"/>
      <queryTableField id="17" name="AvgCH" tableColumnId="17"/>
      <queryTableField id="18" name="AvgCD" tableColumnId="18"/>
      <queryTableField id="19" name="AvgCA" tableColumnId="19"/>
      <queryTableField id="20" name="BFECH" tableColumnId="20"/>
      <queryTableField id="21" name="BFECD" tableColumnId="21"/>
      <queryTableField id="22" name="BFECA" tableColumnId="22"/>
      <queryTableField id="23" name="B365CH" tableColumnId="23"/>
      <queryTableField id="24" name="B365CD" tableColumnId="24"/>
      <queryTableField id="25" name="B365CA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E9CAED-6D38-46C8-B00A-79879CED87E5}" name="BRA" displayName="BRA" ref="A1:Y381" tableType="queryTable" totalsRowShown="0">
  <autoFilter ref="A1:Y381" xr:uid="{65E9CAED-6D38-46C8-B00A-79879CED87E5}"/>
  <tableColumns count="25">
    <tableColumn id="1" xr3:uid="{4A86B7E8-B28B-486C-9AD2-D1B5F95FBC2B}" uniqueName="1" name="Country" queryTableFieldId="1" dataDxfId="28"/>
    <tableColumn id="2" xr3:uid="{D89DAAF6-89AC-463C-A7F2-EEA85E00C66A}" uniqueName="2" name="League" queryTableFieldId="2" dataDxfId="27"/>
    <tableColumn id="3" xr3:uid="{A7D05BA8-6114-4DF2-B8EA-A5D37746D240}" uniqueName="3" name="Season" queryTableFieldId="3"/>
    <tableColumn id="4" xr3:uid="{FD82AF48-B4F1-4BDE-A5A2-548224B43279}" uniqueName="4" name="Date" queryTableFieldId="4" dataDxfId="26"/>
    <tableColumn id="5" xr3:uid="{80898222-E40E-4CF6-B3E2-11398827C641}" uniqueName="5" name="Time" queryTableFieldId="5" dataDxfId="25"/>
    <tableColumn id="6" xr3:uid="{3EF670F7-85F2-4CD1-8E48-E9E42788F359}" uniqueName="6" name="Home" queryTableFieldId="6" dataDxfId="24"/>
    <tableColumn id="7" xr3:uid="{7CCA6B5C-5830-46F9-9C6B-C6AC928030C6}" uniqueName="7" name="Away" queryTableFieldId="7" dataDxfId="23"/>
    <tableColumn id="8" xr3:uid="{F90651D3-AC5A-4107-951D-FDDCAE637DFA}" uniqueName="8" name="HG" queryTableFieldId="8"/>
    <tableColumn id="9" xr3:uid="{2CE1CC80-BEA7-4EE8-9772-42381AB22CD0}" uniqueName="9" name="AG" queryTableFieldId="9"/>
    <tableColumn id="10" xr3:uid="{54A69542-C9B9-431B-8191-6E66CC7C7CAB}" uniqueName="10" name="Res" queryTableFieldId="10" dataDxfId="22"/>
    <tableColumn id="11" xr3:uid="{4B7C1178-0AC8-4728-B061-370E89AD10EA}" uniqueName="11" name="PSCH" queryTableFieldId="11"/>
    <tableColumn id="12" xr3:uid="{CB284688-EA98-4832-8E8B-9E2147D50D8E}" uniqueName="12" name="PSCD" queryTableFieldId="12"/>
    <tableColumn id="13" xr3:uid="{24171B4E-EF92-4FC4-B632-DB371788419F}" uniqueName="13" name="PSCA" queryTableFieldId="13"/>
    <tableColumn id="14" xr3:uid="{401B8A79-B0BD-4DC0-922D-0178696BB11C}" uniqueName="14" name="MaxCH" queryTableFieldId="14"/>
    <tableColumn id="15" xr3:uid="{5091E629-85B2-47F1-BFF8-4C17818D12BB}" uniqueName="15" name="MaxCD" queryTableFieldId="15"/>
    <tableColumn id="16" xr3:uid="{A38F60D0-06CF-42FA-B0B4-48C919A50515}" uniqueName="16" name="MaxCA" queryTableFieldId="16"/>
    <tableColumn id="17" xr3:uid="{D7E20C00-72D8-4E7B-A30C-53DE031D2696}" uniqueName="17" name="AvgCH" queryTableFieldId="17"/>
    <tableColumn id="18" xr3:uid="{2A19A02B-BB51-4D10-B140-95D4ECA40991}" uniqueName="18" name="AvgCD" queryTableFieldId="18"/>
    <tableColumn id="19" xr3:uid="{EF4A757B-7123-46FC-9AB3-11682270EBD9}" uniqueName="19" name="AvgCA" queryTableFieldId="19"/>
    <tableColumn id="20" xr3:uid="{A5088B78-3343-4503-9F14-2D66628F36A5}" uniqueName="20" name="BFECH" queryTableFieldId="20" dataDxfId="21"/>
    <tableColumn id="21" xr3:uid="{3E12DCD7-E915-4100-A39D-2D2EDE2AFAB5}" uniqueName="21" name="BFECD" queryTableFieldId="21" dataDxfId="20"/>
    <tableColumn id="22" xr3:uid="{C957E49F-002E-4852-8CC8-30B6F8E92A80}" uniqueName="22" name="BFECA" queryTableFieldId="22" dataDxfId="19"/>
    <tableColumn id="23" xr3:uid="{C2A6660B-E635-412B-8BEB-BBCEC01F13FF}" uniqueName="23" name="B365CH" queryTableFieldId="23" dataDxfId="18"/>
    <tableColumn id="24" xr3:uid="{933EB748-910D-44E8-8612-CECD8DE2465E}" uniqueName="24" name="B365CD" queryTableFieldId="24" dataDxfId="17"/>
    <tableColumn id="25" xr3:uid="{23914E0A-B8CC-437C-BB53-1AC264F7907F}" uniqueName="25" name="B365CA" queryTableFieldId="25" dataDxf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3BF16-68C9-48D3-AF77-E085F8AE9051}">
  <dimension ref="A1:Y381"/>
  <sheetViews>
    <sheetView workbookViewId="0">
      <selection activeCell="Y28" sqref="Y28"/>
    </sheetView>
  </sheetViews>
  <sheetFormatPr defaultRowHeight="15" x14ac:dyDescent="0.25"/>
  <cols>
    <col min="1" max="1" width="10.5703125" bestFit="1" customWidth="1"/>
    <col min="2" max="3" width="9.7109375" bestFit="1" customWidth="1"/>
    <col min="4" max="4" width="11.42578125" bestFit="1" customWidth="1"/>
    <col min="5" max="5" width="8.85546875" bestFit="1" customWidth="1"/>
    <col min="6" max="7" width="12.7109375" bestFit="1" customWidth="1"/>
    <col min="8" max="9" width="6.140625" bestFit="1" customWidth="1"/>
    <col min="10" max="10" width="6.5703125" bestFit="1" customWidth="1"/>
    <col min="11" max="13" width="8" bestFit="1" customWidth="1"/>
    <col min="14" max="15" width="9.85546875" bestFit="1" customWidth="1"/>
    <col min="16" max="16" width="9.7109375" bestFit="1" customWidth="1"/>
    <col min="17" max="18" width="9.28515625" bestFit="1" customWidth="1"/>
    <col min="23" max="24" width="10.42578125" bestFit="1" customWidth="1"/>
    <col min="25" max="25" width="10.28515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26</v>
      </c>
      <c r="C2">
        <v>2024</v>
      </c>
      <c r="D2" s="1">
        <v>45395</v>
      </c>
      <c r="E2" s="2">
        <v>0.9375</v>
      </c>
      <c r="F2" t="s">
        <v>27</v>
      </c>
      <c r="G2" t="s">
        <v>28</v>
      </c>
      <c r="H2">
        <v>1</v>
      </c>
      <c r="I2">
        <v>1</v>
      </c>
      <c r="J2" t="s">
        <v>29</v>
      </c>
      <c r="K2">
        <v>216</v>
      </c>
      <c r="L2">
        <v>305</v>
      </c>
      <c r="M2">
        <v>413</v>
      </c>
      <c r="N2">
        <v>221</v>
      </c>
      <c r="O2">
        <v>321</v>
      </c>
      <c r="P2">
        <v>42</v>
      </c>
      <c r="Q2">
        <v>213</v>
      </c>
      <c r="R2">
        <v>3</v>
      </c>
      <c r="S2">
        <v>389</v>
      </c>
      <c r="T2" t="s">
        <v>30</v>
      </c>
      <c r="U2" t="s">
        <v>30</v>
      </c>
      <c r="V2" t="s">
        <v>30</v>
      </c>
      <c r="W2" t="s">
        <v>30</v>
      </c>
      <c r="X2" t="s">
        <v>30</v>
      </c>
      <c r="Y2" t="s">
        <v>30</v>
      </c>
    </row>
    <row r="3" spans="1:25" x14ac:dyDescent="0.25">
      <c r="A3" t="s">
        <v>25</v>
      </c>
      <c r="B3" t="s">
        <v>26</v>
      </c>
      <c r="C3">
        <v>2024</v>
      </c>
      <c r="D3" s="1">
        <v>45395</v>
      </c>
      <c r="E3" s="2">
        <v>0.9375</v>
      </c>
      <c r="F3" t="s">
        <v>31</v>
      </c>
      <c r="G3" t="s">
        <v>32</v>
      </c>
      <c r="H3">
        <v>2</v>
      </c>
      <c r="I3">
        <v>1</v>
      </c>
      <c r="J3" t="s">
        <v>33</v>
      </c>
      <c r="K3">
        <v>19</v>
      </c>
      <c r="L3">
        <v>343</v>
      </c>
      <c r="M3">
        <v>458</v>
      </c>
      <c r="N3">
        <v>193</v>
      </c>
      <c r="O3">
        <v>357</v>
      </c>
      <c r="P3">
        <v>462</v>
      </c>
      <c r="Q3">
        <v>187</v>
      </c>
      <c r="R3">
        <v>338</v>
      </c>
      <c r="S3">
        <v>431</v>
      </c>
      <c r="T3" t="s">
        <v>30</v>
      </c>
      <c r="U3" t="s">
        <v>30</v>
      </c>
      <c r="V3" t="s">
        <v>30</v>
      </c>
      <c r="W3" t="s">
        <v>30</v>
      </c>
      <c r="X3" t="s">
        <v>30</v>
      </c>
      <c r="Y3" t="s">
        <v>30</v>
      </c>
    </row>
    <row r="4" spans="1:25" x14ac:dyDescent="0.25">
      <c r="A4" t="s">
        <v>25</v>
      </c>
      <c r="B4" t="s">
        <v>26</v>
      </c>
      <c r="C4">
        <v>2024</v>
      </c>
      <c r="D4" s="1">
        <v>45396</v>
      </c>
      <c r="E4" s="2">
        <v>4.1666666666666664E-2</v>
      </c>
      <c r="F4" t="s">
        <v>34</v>
      </c>
      <c r="G4" t="s">
        <v>35</v>
      </c>
      <c r="H4">
        <v>2</v>
      </c>
      <c r="I4">
        <v>2</v>
      </c>
      <c r="J4" t="s">
        <v>29</v>
      </c>
      <c r="K4">
        <v>175</v>
      </c>
      <c r="L4">
        <v>363</v>
      </c>
      <c r="M4">
        <v>531</v>
      </c>
      <c r="N4">
        <v>191</v>
      </c>
      <c r="O4">
        <v>365</v>
      </c>
      <c r="P4">
        <v>531</v>
      </c>
      <c r="Q4">
        <v>178</v>
      </c>
      <c r="R4">
        <v>348</v>
      </c>
      <c r="S4">
        <v>479</v>
      </c>
      <c r="T4" t="s">
        <v>30</v>
      </c>
      <c r="U4" t="s">
        <v>30</v>
      </c>
      <c r="V4" t="s">
        <v>30</v>
      </c>
      <c r="W4" t="s">
        <v>30</v>
      </c>
      <c r="X4" t="s">
        <v>30</v>
      </c>
      <c r="Y4" t="s">
        <v>30</v>
      </c>
    </row>
    <row r="5" spans="1:25" x14ac:dyDescent="0.25">
      <c r="A5" t="s">
        <v>25</v>
      </c>
      <c r="B5" t="s">
        <v>26</v>
      </c>
      <c r="C5">
        <v>2024</v>
      </c>
      <c r="D5" s="1">
        <v>45396</v>
      </c>
      <c r="E5" s="2">
        <v>4.1666666666666664E-2</v>
      </c>
      <c r="F5" t="s">
        <v>36</v>
      </c>
      <c r="G5" t="s">
        <v>37</v>
      </c>
      <c r="H5">
        <v>1</v>
      </c>
      <c r="I5">
        <v>2</v>
      </c>
      <c r="J5" t="s">
        <v>38</v>
      </c>
      <c r="K5">
        <v>185</v>
      </c>
      <c r="L5">
        <v>341</v>
      </c>
      <c r="M5">
        <v>49</v>
      </c>
      <c r="N5">
        <v>2</v>
      </c>
      <c r="O5">
        <v>342</v>
      </c>
      <c r="P5">
        <v>509</v>
      </c>
      <c r="Q5">
        <v>188</v>
      </c>
      <c r="R5">
        <v>329</v>
      </c>
      <c r="S5">
        <v>447</v>
      </c>
      <c r="T5" t="s">
        <v>30</v>
      </c>
      <c r="U5" t="s">
        <v>30</v>
      </c>
      <c r="V5" t="s">
        <v>30</v>
      </c>
      <c r="W5" t="s">
        <v>30</v>
      </c>
      <c r="X5" t="s">
        <v>30</v>
      </c>
      <c r="Y5" t="s">
        <v>30</v>
      </c>
    </row>
    <row r="6" spans="1:25" x14ac:dyDescent="0.25">
      <c r="A6" t="s">
        <v>25</v>
      </c>
      <c r="B6" t="s">
        <v>26</v>
      </c>
      <c r="C6">
        <v>2024</v>
      </c>
      <c r="D6" s="1">
        <v>45396</v>
      </c>
      <c r="E6" s="2">
        <v>0.83333333333333326</v>
      </c>
      <c r="F6" t="s">
        <v>39</v>
      </c>
      <c r="G6" t="s">
        <v>40</v>
      </c>
      <c r="H6">
        <v>4</v>
      </c>
      <c r="I6">
        <v>0</v>
      </c>
      <c r="J6" t="s">
        <v>33</v>
      </c>
      <c r="K6">
        <v>156</v>
      </c>
      <c r="L6">
        <v>385</v>
      </c>
      <c r="M6">
        <v>733</v>
      </c>
      <c r="N6">
        <v>162</v>
      </c>
      <c r="O6">
        <v>385</v>
      </c>
      <c r="P6">
        <v>733</v>
      </c>
      <c r="Q6">
        <v>157</v>
      </c>
      <c r="R6">
        <v>369</v>
      </c>
      <c r="S6">
        <v>661</v>
      </c>
      <c r="T6" t="s">
        <v>30</v>
      </c>
      <c r="U6" t="s">
        <v>30</v>
      </c>
      <c r="V6" t="s">
        <v>30</v>
      </c>
      <c r="W6" t="s">
        <v>30</v>
      </c>
      <c r="X6" t="s">
        <v>30</v>
      </c>
      <c r="Y6" t="s">
        <v>30</v>
      </c>
    </row>
    <row r="7" spans="1:25" x14ac:dyDescent="0.25">
      <c r="A7" t="s">
        <v>25</v>
      </c>
      <c r="B7" t="s">
        <v>26</v>
      </c>
      <c r="C7">
        <v>2024</v>
      </c>
      <c r="D7" s="1">
        <v>45396</v>
      </c>
      <c r="E7" s="2">
        <v>0.83333333333333326</v>
      </c>
      <c r="F7" t="s">
        <v>41</v>
      </c>
      <c r="G7" t="s">
        <v>42</v>
      </c>
      <c r="H7">
        <v>1</v>
      </c>
      <c r="I7">
        <v>2</v>
      </c>
      <c r="J7" t="s">
        <v>38</v>
      </c>
      <c r="K7">
        <v>517</v>
      </c>
      <c r="L7">
        <v>379</v>
      </c>
      <c r="M7">
        <v>172</v>
      </c>
      <c r="N7">
        <v>52</v>
      </c>
      <c r="O7">
        <v>382</v>
      </c>
      <c r="P7">
        <v>18</v>
      </c>
      <c r="Q7">
        <v>483</v>
      </c>
      <c r="R7">
        <v>369</v>
      </c>
      <c r="S7">
        <v>172</v>
      </c>
      <c r="T7" t="s">
        <v>30</v>
      </c>
      <c r="U7" t="s">
        <v>30</v>
      </c>
      <c r="V7" t="s">
        <v>30</v>
      </c>
      <c r="W7" t="s">
        <v>30</v>
      </c>
      <c r="X7" t="s">
        <v>30</v>
      </c>
      <c r="Y7" t="s">
        <v>30</v>
      </c>
    </row>
    <row r="8" spans="1:25" x14ac:dyDescent="0.25">
      <c r="A8" t="s">
        <v>25</v>
      </c>
      <c r="B8" t="s">
        <v>26</v>
      </c>
      <c r="C8">
        <v>2024</v>
      </c>
      <c r="D8" s="1">
        <v>45396</v>
      </c>
      <c r="E8" s="2">
        <v>0.83333333333333326</v>
      </c>
      <c r="F8" t="s">
        <v>43</v>
      </c>
      <c r="G8" t="s">
        <v>44</v>
      </c>
      <c r="H8">
        <v>0</v>
      </c>
      <c r="I8">
        <v>0</v>
      </c>
      <c r="J8" t="s">
        <v>29</v>
      </c>
      <c r="K8">
        <v>259</v>
      </c>
      <c r="L8">
        <v>3</v>
      </c>
      <c r="M8">
        <v>319</v>
      </c>
      <c r="N8">
        <v>27</v>
      </c>
      <c r="O8">
        <v>314</v>
      </c>
      <c r="P8">
        <v>319</v>
      </c>
      <c r="Q8">
        <v>256</v>
      </c>
      <c r="R8">
        <v>298</v>
      </c>
      <c r="S8">
        <v>3</v>
      </c>
      <c r="T8" t="s">
        <v>30</v>
      </c>
      <c r="U8" t="s">
        <v>30</v>
      </c>
      <c r="V8" t="s">
        <v>30</v>
      </c>
      <c r="W8" t="s">
        <v>30</v>
      </c>
      <c r="X8" t="s">
        <v>30</v>
      </c>
      <c r="Y8" t="s">
        <v>30</v>
      </c>
    </row>
    <row r="9" spans="1:25" x14ac:dyDescent="0.25">
      <c r="A9" t="s">
        <v>25</v>
      </c>
      <c r="B9" t="s">
        <v>26</v>
      </c>
      <c r="C9">
        <v>2024</v>
      </c>
      <c r="D9" s="1">
        <v>45396</v>
      </c>
      <c r="E9" s="2">
        <v>0.83333333333333326</v>
      </c>
      <c r="F9" t="s">
        <v>45</v>
      </c>
      <c r="G9" t="s">
        <v>46</v>
      </c>
      <c r="H9">
        <v>2</v>
      </c>
      <c r="I9">
        <v>1</v>
      </c>
      <c r="J9" t="s">
        <v>33</v>
      </c>
      <c r="K9">
        <v>218</v>
      </c>
      <c r="L9">
        <v>331</v>
      </c>
      <c r="M9">
        <v>366</v>
      </c>
      <c r="N9">
        <v>227</v>
      </c>
      <c r="O9">
        <v>339</v>
      </c>
      <c r="P9">
        <v>369</v>
      </c>
      <c r="Q9">
        <v>217</v>
      </c>
      <c r="R9">
        <v>322</v>
      </c>
      <c r="S9">
        <v>34</v>
      </c>
      <c r="T9" t="s">
        <v>30</v>
      </c>
      <c r="U9" t="s">
        <v>30</v>
      </c>
      <c r="V9" t="s">
        <v>30</v>
      </c>
      <c r="W9" t="s">
        <v>30</v>
      </c>
      <c r="X9" t="s">
        <v>30</v>
      </c>
      <c r="Y9" t="s">
        <v>30</v>
      </c>
    </row>
    <row r="10" spans="1:25" x14ac:dyDescent="0.25">
      <c r="A10" t="s">
        <v>25</v>
      </c>
      <c r="B10" t="s">
        <v>26</v>
      </c>
      <c r="C10">
        <v>2024</v>
      </c>
      <c r="D10" s="1">
        <v>45396</v>
      </c>
      <c r="E10" s="2">
        <v>0.875</v>
      </c>
      <c r="F10" t="s">
        <v>47</v>
      </c>
      <c r="G10" t="s">
        <v>48</v>
      </c>
      <c r="H10">
        <v>3</v>
      </c>
      <c r="I10">
        <v>2</v>
      </c>
      <c r="J10" t="s">
        <v>33</v>
      </c>
      <c r="K10">
        <v>221</v>
      </c>
      <c r="L10">
        <v>321</v>
      </c>
      <c r="M10">
        <v>371</v>
      </c>
      <c r="N10">
        <v>231</v>
      </c>
      <c r="O10">
        <v>325</v>
      </c>
      <c r="P10">
        <v>385</v>
      </c>
      <c r="Q10">
        <v>22</v>
      </c>
      <c r="R10">
        <v>312</v>
      </c>
      <c r="S10">
        <v>35</v>
      </c>
      <c r="T10" t="s">
        <v>30</v>
      </c>
      <c r="U10" t="s">
        <v>30</v>
      </c>
      <c r="V10" t="s">
        <v>30</v>
      </c>
      <c r="W10" t="s">
        <v>30</v>
      </c>
      <c r="X10" t="s">
        <v>30</v>
      </c>
      <c r="Y10" t="s">
        <v>30</v>
      </c>
    </row>
    <row r="11" spans="1:25" x14ac:dyDescent="0.25">
      <c r="A11" t="s">
        <v>25</v>
      </c>
      <c r="B11" t="s">
        <v>26</v>
      </c>
      <c r="C11">
        <v>2024</v>
      </c>
      <c r="D11" s="1">
        <v>45396</v>
      </c>
      <c r="E11" s="2">
        <v>0.9375</v>
      </c>
      <c r="F11" t="s">
        <v>49</v>
      </c>
      <c r="G11" t="s">
        <v>50</v>
      </c>
      <c r="H11">
        <v>0</v>
      </c>
      <c r="I11">
        <v>1</v>
      </c>
      <c r="J11" t="s">
        <v>38</v>
      </c>
      <c r="K11">
        <v>395</v>
      </c>
      <c r="L11">
        <v>334</v>
      </c>
      <c r="M11">
        <v>207</v>
      </c>
      <c r="N11">
        <v>4</v>
      </c>
      <c r="O11">
        <v>358</v>
      </c>
      <c r="P11">
        <v>214</v>
      </c>
      <c r="Q11">
        <v>372</v>
      </c>
      <c r="R11">
        <v>332</v>
      </c>
      <c r="S11">
        <v>204</v>
      </c>
      <c r="T11" t="s">
        <v>30</v>
      </c>
      <c r="U11" t="s">
        <v>30</v>
      </c>
      <c r="V11" t="s">
        <v>30</v>
      </c>
      <c r="W11" t="s">
        <v>30</v>
      </c>
      <c r="X11" t="s">
        <v>30</v>
      </c>
      <c r="Y11" t="s">
        <v>30</v>
      </c>
    </row>
    <row r="12" spans="1:25" x14ac:dyDescent="0.25">
      <c r="A12" t="s">
        <v>25</v>
      </c>
      <c r="B12" t="s">
        <v>26</v>
      </c>
      <c r="C12">
        <v>2024</v>
      </c>
      <c r="D12" s="1">
        <v>45399</v>
      </c>
      <c r="E12" s="2">
        <v>6.25E-2</v>
      </c>
      <c r="F12" t="s">
        <v>32</v>
      </c>
      <c r="G12" t="s">
        <v>34</v>
      </c>
      <c r="H12">
        <v>2</v>
      </c>
      <c r="I12">
        <v>1</v>
      </c>
      <c r="J12" t="s">
        <v>33</v>
      </c>
      <c r="K12">
        <v>212</v>
      </c>
      <c r="L12">
        <v>348</v>
      </c>
      <c r="M12">
        <v>363</v>
      </c>
      <c r="N12">
        <v>219</v>
      </c>
      <c r="O12">
        <v>351</v>
      </c>
      <c r="P12">
        <v>375</v>
      </c>
      <c r="Q12">
        <v>211</v>
      </c>
      <c r="R12">
        <v>34</v>
      </c>
      <c r="S12">
        <v>343</v>
      </c>
      <c r="T12" t="s">
        <v>30</v>
      </c>
      <c r="U12" t="s">
        <v>30</v>
      </c>
      <c r="V12" t="s">
        <v>30</v>
      </c>
      <c r="W12" t="s">
        <v>30</v>
      </c>
      <c r="X12" t="s">
        <v>30</v>
      </c>
      <c r="Y12" t="s">
        <v>30</v>
      </c>
    </row>
    <row r="13" spans="1:25" x14ac:dyDescent="0.25">
      <c r="A13" t="s">
        <v>25</v>
      </c>
      <c r="B13" t="s">
        <v>26</v>
      </c>
      <c r="C13">
        <v>2024</v>
      </c>
      <c r="D13" s="1">
        <v>45399</v>
      </c>
      <c r="E13" s="2">
        <v>0.95833333333333326</v>
      </c>
      <c r="F13" t="s">
        <v>35</v>
      </c>
      <c r="G13" t="s">
        <v>45</v>
      </c>
      <c r="H13">
        <v>2</v>
      </c>
      <c r="I13">
        <v>1</v>
      </c>
      <c r="J13" t="s">
        <v>33</v>
      </c>
      <c r="K13">
        <v>198</v>
      </c>
      <c r="L13">
        <v>352</v>
      </c>
      <c r="M13">
        <v>407</v>
      </c>
      <c r="N13">
        <v>198</v>
      </c>
      <c r="O13">
        <v>354</v>
      </c>
      <c r="P13">
        <v>433</v>
      </c>
      <c r="Q13">
        <v>194</v>
      </c>
      <c r="R13">
        <v>344</v>
      </c>
      <c r="S13">
        <v>396</v>
      </c>
      <c r="T13" t="s">
        <v>30</v>
      </c>
      <c r="U13" t="s">
        <v>30</v>
      </c>
      <c r="V13" t="s">
        <v>30</v>
      </c>
      <c r="W13" t="s">
        <v>30</v>
      </c>
      <c r="X13" t="s">
        <v>30</v>
      </c>
      <c r="Y13" t="s">
        <v>30</v>
      </c>
    </row>
    <row r="14" spans="1:25" x14ac:dyDescent="0.25">
      <c r="A14" t="s">
        <v>25</v>
      </c>
      <c r="B14" t="s">
        <v>26</v>
      </c>
      <c r="C14">
        <v>2024</v>
      </c>
      <c r="D14" s="1">
        <v>45399</v>
      </c>
      <c r="E14" s="2">
        <v>0.95833333333333326</v>
      </c>
      <c r="F14" t="s">
        <v>46</v>
      </c>
      <c r="G14" t="s">
        <v>39</v>
      </c>
      <c r="H14">
        <v>2</v>
      </c>
      <c r="I14">
        <v>0</v>
      </c>
      <c r="J14" t="s">
        <v>33</v>
      </c>
      <c r="K14">
        <v>264</v>
      </c>
      <c r="L14">
        <v>327</v>
      </c>
      <c r="M14">
        <v>287</v>
      </c>
      <c r="N14">
        <v>274</v>
      </c>
      <c r="O14">
        <v>34</v>
      </c>
      <c r="P14">
        <v>287</v>
      </c>
      <c r="Q14">
        <v>26</v>
      </c>
      <c r="R14">
        <v>322</v>
      </c>
      <c r="S14">
        <v>275</v>
      </c>
      <c r="T14" t="s">
        <v>30</v>
      </c>
      <c r="U14" t="s">
        <v>30</v>
      </c>
      <c r="V14" t="s">
        <v>30</v>
      </c>
      <c r="W14" t="s">
        <v>30</v>
      </c>
      <c r="X14" t="s">
        <v>30</v>
      </c>
      <c r="Y14" t="s">
        <v>30</v>
      </c>
    </row>
    <row r="15" spans="1:25" x14ac:dyDescent="0.25">
      <c r="A15" t="s">
        <v>25</v>
      </c>
      <c r="B15" t="s">
        <v>26</v>
      </c>
      <c r="C15">
        <v>2024</v>
      </c>
      <c r="D15" s="1">
        <v>45400</v>
      </c>
      <c r="E15" s="2">
        <v>0</v>
      </c>
      <c r="F15" t="s">
        <v>44</v>
      </c>
      <c r="G15" t="s">
        <v>27</v>
      </c>
      <c r="H15">
        <v>1</v>
      </c>
      <c r="I15">
        <v>1</v>
      </c>
      <c r="J15" t="s">
        <v>29</v>
      </c>
      <c r="K15">
        <v>142</v>
      </c>
      <c r="L15">
        <v>462</v>
      </c>
      <c r="M15">
        <v>861</v>
      </c>
      <c r="N15">
        <v>147</v>
      </c>
      <c r="O15">
        <v>462</v>
      </c>
      <c r="P15">
        <v>9</v>
      </c>
      <c r="Q15">
        <v>143</v>
      </c>
      <c r="R15">
        <v>431</v>
      </c>
      <c r="S15">
        <v>783</v>
      </c>
      <c r="T15" t="s">
        <v>30</v>
      </c>
      <c r="U15" t="s">
        <v>30</v>
      </c>
      <c r="V15" t="s">
        <v>30</v>
      </c>
      <c r="W15" t="s">
        <v>30</v>
      </c>
      <c r="X15" t="s">
        <v>30</v>
      </c>
      <c r="Y15" t="s">
        <v>30</v>
      </c>
    </row>
    <row r="16" spans="1:25" x14ac:dyDescent="0.25">
      <c r="A16" t="s">
        <v>25</v>
      </c>
      <c r="B16" t="s">
        <v>26</v>
      </c>
      <c r="C16">
        <v>2024</v>
      </c>
      <c r="D16" s="1">
        <v>45400</v>
      </c>
      <c r="E16" s="2">
        <v>0</v>
      </c>
      <c r="F16" t="s">
        <v>37</v>
      </c>
      <c r="G16" t="s">
        <v>47</v>
      </c>
      <c r="H16">
        <v>1</v>
      </c>
      <c r="I16">
        <v>1</v>
      </c>
      <c r="J16" t="s">
        <v>29</v>
      </c>
      <c r="K16">
        <v>197</v>
      </c>
      <c r="L16">
        <v>334</v>
      </c>
      <c r="M16">
        <v>437</v>
      </c>
      <c r="N16">
        <v>2</v>
      </c>
      <c r="O16">
        <v>347</v>
      </c>
      <c r="P16">
        <v>437</v>
      </c>
      <c r="Q16">
        <v>196</v>
      </c>
      <c r="R16">
        <v>328</v>
      </c>
      <c r="S16">
        <v>411</v>
      </c>
      <c r="T16" t="s">
        <v>30</v>
      </c>
      <c r="U16" t="s">
        <v>30</v>
      </c>
      <c r="V16" t="s">
        <v>30</v>
      </c>
      <c r="W16" t="s">
        <v>30</v>
      </c>
      <c r="X16" t="s">
        <v>30</v>
      </c>
      <c r="Y16" t="s">
        <v>30</v>
      </c>
    </row>
    <row r="17" spans="1:25" x14ac:dyDescent="0.25">
      <c r="A17" t="s">
        <v>25</v>
      </c>
      <c r="B17" t="s">
        <v>26</v>
      </c>
      <c r="C17">
        <v>2024</v>
      </c>
      <c r="D17" s="1">
        <v>45400</v>
      </c>
      <c r="E17" s="2">
        <v>0</v>
      </c>
      <c r="F17" t="s">
        <v>28</v>
      </c>
      <c r="G17" t="s">
        <v>43</v>
      </c>
      <c r="H17">
        <v>2</v>
      </c>
      <c r="I17">
        <v>0</v>
      </c>
      <c r="J17" t="s">
        <v>33</v>
      </c>
      <c r="K17">
        <v>37</v>
      </c>
      <c r="L17">
        <v>298</v>
      </c>
      <c r="M17">
        <v>234</v>
      </c>
      <c r="N17">
        <v>37</v>
      </c>
      <c r="O17">
        <v>31</v>
      </c>
      <c r="P17">
        <v>245</v>
      </c>
      <c r="Q17">
        <v>347</v>
      </c>
      <c r="R17">
        <v>293</v>
      </c>
      <c r="S17">
        <v>233</v>
      </c>
      <c r="T17" t="s">
        <v>30</v>
      </c>
      <c r="U17" t="s">
        <v>30</v>
      </c>
      <c r="V17" t="s">
        <v>30</v>
      </c>
      <c r="W17" t="s">
        <v>30</v>
      </c>
      <c r="X17" t="s">
        <v>30</v>
      </c>
      <c r="Y17" t="s">
        <v>30</v>
      </c>
    </row>
    <row r="18" spans="1:25" x14ac:dyDescent="0.25">
      <c r="A18" t="s">
        <v>25</v>
      </c>
      <c r="B18" t="s">
        <v>26</v>
      </c>
      <c r="C18">
        <v>2024</v>
      </c>
      <c r="D18" s="1">
        <v>45400</v>
      </c>
      <c r="E18" s="2">
        <v>0</v>
      </c>
      <c r="F18" t="s">
        <v>50</v>
      </c>
      <c r="G18" t="s">
        <v>31</v>
      </c>
      <c r="H18">
        <v>0</v>
      </c>
      <c r="I18">
        <v>1</v>
      </c>
      <c r="J18" t="s">
        <v>38</v>
      </c>
      <c r="K18">
        <v>169</v>
      </c>
      <c r="L18">
        <v>361</v>
      </c>
      <c r="M18">
        <v>593</v>
      </c>
      <c r="N18">
        <v>177</v>
      </c>
      <c r="O18">
        <v>363</v>
      </c>
      <c r="P18">
        <v>6</v>
      </c>
      <c r="Q18">
        <v>168</v>
      </c>
      <c r="R18">
        <v>355</v>
      </c>
      <c r="S18">
        <v>555</v>
      </c>
      <c r="T18" t="s">
        <v>30</v>
      </c>
      <c r="U18" t="s">
        <v>30</v>
      </c>
      <c r="V18" t="s">
        <v>30</v>
      </c>
      <c r="W18" t="s">
        <v>30</v>
      </c>
      <c r="X18" t="s">
        <v>30</v>
      </c>
      <c r="Y18" t="s">
        <v>30</v>
      </c>
    </row>
    <row r="19" spans="1:25" x14ac:dyDescent="0.25">
      <c r="A19" t="s">
        <v>25</v>
      </c>
      <c r="B19" t="s">
        <v>26</v>
      </c>
      <c r="C19">
        <v>2024</v>
      </c>
      <c r="D19" s="1">
        <v>45400</v>
      </c>
      <c r="E19" s="2">
        <v>6.25E-2</v>
      </c>
      <c r="F19" t="s">
        <v>42</v>
      </c>
      <c r="G19" t="s">
        <v>36</v>
      </c>
      <c r="H19">
        <v>2</v>
      </c>
      <c r="I19">
        <v>1</v>
      </c>
      <c r="J19" t="s">
        <v>33</v>
      </c>
      <c r="K19">
        <v>169</v>
      </c>
      <c r="L19">
        <v>355</v>
      </c>
      <c r="M19">
        <v>609</v>
      </c>
      <c r="N19">
        <v>178</v>
      </c>
      <c r="O19">
        <v>37</v>
      </c>
      <c r="P19">
        <v>609</v>
      </c>
      <c r="Q19">
        <v>17</v>
      </c>
      <c r="R19">
        <v>344</v>
      </c>
      <c r="S19">
        <v>555</v>
      </c>
      <c r="T19" t="s">
        <v>30</v>
      </c>
      <c r="U19" t="s">
        <v>30</v>
      </c>
      <c r="V19" t="s">
        <v>30</v>
      </c>
      <c r="W19" t="s">
        <v>30</v>
      </c>
      <c r="X19" t="s">
        <v>30</v>
      </c>
      <c r="Y19" t="s">
        <v>30</v>
      </c>
    </row>
    <row r="20" spans="1:25" x14ac:dyDescent="0.25">
      <c r="A20" t="s">
        <v>25</v>
      </c>
      <c r="B20" t="s">
        <v>26</v>
      </c>
      <c r="C20">
        <v>2024</v>
      </c>
      <c r="D20" s="1">
        <v>45401</v>
      </c>
      <c r="E20" s="2">
        <v>6.25E-2</v>
      </c>
      <c r="F20" t="s">
        <v>48</v>
      </c>
      <c r="G20" t="s">
        <v>41</v>
      </c>
      <c r="H20">
        <v>1</v>
      </c>
      <c r="I20">
        <v>0</v>
      </c>
      <c r="J20" t="s">
        <v>33</v>
      </c>
      <c r="K20">
        <v>18</v>
      </c>
      <c r="L20">
        <v>362</v>
      </c>
      <c r="M20">
        <v>49</v>
      </c>
      <c r="N20">
        <v>182</v>
      </c>
      <c r="O20">
        <v>369</v>
      </c>
      <c r="P20">
        <v>51</v>
      </c>
      <c r="Q20">
        <v>176</v>
      </c>
      <c r="R20">
        <v>355</v>
      </c>
      <c r="S20">
        <v>473</v>
      </c>
      <c r="T20" t="s">
        <v>30</v>
      </c>
      <c r="U20" t="s">
        <v>30</v>
      </c>
      <c r="V20" t="s">
        <v>30</v>
      </c>
      <c r="W20" t="s">
        <v>30</v>
      </c>
      <c r="X20" t="s">
        <v>30</v>
      </c>
      <c r="Y20" t="s">
        <v>30</v>
      </c>
    </row>
    <row r="21" spans="1:25" x14ac:dyDescent="0.25">
      <c r="A21" t="s">
        <v>25</v>
      </c>
      <c r="B21" t="s">
        <v>26</v>
      </c>
      <c r="C21">
        <v>2024</v>
      </c>
      <c r="D21" s="1">
        <v>45402</v>
      </c>
      <c r="E21" s="2">
        <v>0.83333333333333326</v>
      </c>
      <c r="F21" t="s">
        <v>34</v>
      </c>
      <c r="G21" t="s">
        <v>45</v>
      </c>
      <c r="H21">
        <v>2</v>
      </c>
      <c r="I21">
        <v>1</v>
      </c>
      <c r="J21" t="s">
        <v>33</v>
      </c>
      <c r="K21">
        <v>201</v>
      </c>
      <c r="L21">
        <v>343</v>
      </c>
      <c r="M21">
        <v>41</v>
      </c>
      <c r="N21">
        <v>205</v>
      </c>
      <c r="O21">
        <v>365</v>
      </c>
      <c r="P21">
        <v>45</v>
      </c>
      <c r="Q21">
        <v>196</v>
      </c>
      <c r="R21">
        <v>338</v>
      </c>
      <c r="S21">
        <v>393</v>
      </c>
      <c r="T21" t="s">
        <v>30</v>
      </c>
      <c r="U21" t="s">
        <v>30</v>
      </c>
      <c r="V21" t="s">
        <v>30</v>
      </c>
      <c r="W21" t="s">
        <v>30</v>
      </c>
      <c r="X21" t="s">
        <v>30</v>
      </c>
      <c r="Y21" t="s">
        <v>30</v>
      </c>
    </row>
    <row r="22" spans="1:25" x14ac:dyDescent="0.25">
      <c r="A22" t="s">
        <v>25</v>
      </c>
      <c r="B22" t="s">
        <v>26</v>
      </c>
      <c r="C22">
        <v>2024</v>
      </c>
      <c r="D22" s="1">
        <v>45402</v>
      </c>
      <c r="E22" s="2">
        <v>0.9375</v>
      </c>
      <c r="F22" t="s">
        <v>35</v>
      </c>
      <c r="G22" t="s">
        <v>43</v>
      </c>
      <c r="H22">
        <v>1</v>
      </c>
      <c r="I22">
        <v>0</v>
      </c>
      <c r="J22" t="s">
        <v>33</v>
      </c>
      <c r="K22">
        <v>227</v>
      </c>
      <c r="L22">
        <v>33</v>
      </c>
      <c r="M22">
        <v>346</v>
      </c>
      <c r="N22">
        <v>229</v>
      </c>
      <c r="O22">
        <v>348</v>
      </c>
      <c r="P22">
        <v>35</v>
      </c>
      <c r="Q22">
        <v>222</v>
      </c>
      <c r="R22">
        <v>325</v>
      </c>
      <c r="S22">
        <v>331</v>
      </c>
      <c r="T22" t="s">
        <v>30</v>
      </c>
      <c r="U22" t="s">
        <v>30</v>
      </c>
      <c r="V22" t="s">
        <v>30</v>
      </c>
      <c r="W22" t="s">
        <v>30</v>
      </c>
      <c r="X22" t="s">
        <v>30</v>
      </c>
      <c r="Y22" t="s">
        <v>30</v>
      </c>
    </row>
    <row r="23" spans="1:25" x14ac:dyDescent="0.25">
      <c r="A23" t="s">
        <v>25</v>
      </c>
      <c r="B23" t="s">
        <v>26</v>
      </c>
      <c r="C23">
        <v>2024</v>
      </c>
      <c r="D23" s="1">
        <v>45402</v>
      </c>
      <c r="E23" s="2">
        <v>0.9375</v>
      </c>
      <c r="F23" t="s">
        <v>46</v>
      </c>
      <c r="G23" t="s">
        <v>40</v>
      </c>
      <c r="H23">
        <v>1</v>
      </c>
      <c r="I23">
        <v>0</v>
      </c>
      <c r="J23" t="s">
        <v>33</v>
      </c>
      <c r="K23">
        <v>175</v>
      </c>
      <c r="L23">
        <v>347</v>
      </c>
      <c r="M23">
        <v>569</v>
      </c>
      <c r="N23">
        <v>175</v>
      </c>
      <c r="O23">
        <v>36</v>
      </c>
      <c r="P23">
        <v>629</v>
      </c>
      <c r="Q23">
        <v>17</v>
      </c>
      <c r="R23">
        <v>345</v>
      </c>
      <c r="S23">
        <v>547</v>
      </c>
      <c r="T23" t="s">
        <v>30</v>
      </c>
      <c r="U23" t="s">
        <v>30</v>
      </c>
      <c r="V23" t="s">
        <v>30</v>
      </c>
      <c r="W23" t="s">
        <v>30</v>
      </c>
      <c r="X23" t="s">
        <v>30</v>
      </c>
      <c r="Y23" t="s">
        <v>30</v>
      </c>
    </row>
    <row r="24" spans="1:25" x14ac:dyDescent="0.25">
      <c r="A24" t="s">
        <v>25</v>
      </c>
      <c r="B24" t="s">
        <v>26</v>
      </c>
      <c r="C24">
        <v>2024</v>
      </c>
      <c r="D24" s="1">
        <v>45403</v>
      </c>
      <c r="E24" s="2">
        <v>4.1666666666666664E-2</v>
      </c>
      <c r="F24" t="s">
        <v>44</v>
      </c>
      <c r="G24" t="s">
        <v>47</v>
      </c>
      <c r="H24">
        <v>3</v>
      </c>
      <c r="I24">
        <v>0</v>
      </c>
      <c r="J24" t="s">
        <v>33</v>
      </c>
      <c r="K24">
        <v>188</v>
      </c>
      <c r="L24">
        <v>348</v>
      </c>
      <c r="M24">
        <v>461</v>
      </c>
      <c r="N24">
        <v>194</v>
      </c>
      <c r="O24">
        <v>363</v>
      </c>
      <c r="P24">
        <v>465</v>
      </c>
      <c r="Q24">
        <v>188</v>
      </c>
      <c r="R24">
        <v>334</v>
      </c>
      <c r="S24">
        <v>437</v>
      </c>
      <c r="T24" t="s">
        <v>30</v>
      </c>
      <c r="U24" t="s">
        <v>30</v>
      </c>
      <c r="V24" t="s">
        <v>30</v>
      </c>
      <c r="W24" t="s">
        <v>30</v>
      </c>
      <c r="X24" t="s">
        <v>30</v>
      </c>
      <c r="Y24" t="s">
        <v>30</v>
      </c>
    </row>
    <row r="25" spans="1:25" x14ac:dyDescent="0.25">
      <c r="A25" t="s">
        <v>25</v>
      </c>
      <c r="B25" t="s">
        <v>26</v>
      </c>
      <c r="C25">
        <v>2024</v>
      </c>
      <c r="D25" s="1">
        <v>45403</v>
      </c>
      <c r="E25" s="2">
        <v>0.83333333333333326</v>
      </c>
      <c r="F25" t="s">
        <v>39</v>
      </c>
      <c r="G25" t="s">
        <v>31</v>
      </c>
      <c r="H25">
        <v>1</v>
      </c>
      <c r="I25">
        <v>0</v>
      </c>
      <c r="J25" t="s">
        <v>33</v>
      </c>
      <c r="K25">
        <v>204</v>
      </c>
      <c r="L25">
        <v>33</v>
      </c>
      <c r="M25">
        <v>413</v>
      </c>
      <c r="N25">
        <v>205</v>
      </c>
      <c r="O25">
        <v>355</v>
      </c>
      <c r="P25">
        <v>413</v>
      </c>
      <c r="Q25">
        <v>199</v>
      </c>
      <c r="R25">
        <v>333</v>
      </c>
      <c r="S25">
        <v>387</v>
      </c>
      <c r="T25" t="s">
        <v>30</v>
      </c>
      <c r="U25" t="s">
        <v>30</v>
      </c>
      <c r="V25" t="s">
        <v>30</v>
      </c>
      <c r="W25" t="s">
        <v>30</v>
      </c>
      <c r="X25" t="s">
        <v>30</v>
      </c>
      <c r="Y25" t="s">
        <v>30</v>
      </c>
    </row>
    <row r="26" spans="1:25" x14ac:dyDescent="0.25">
      <c r="A26" t="s">
        <v>25</v>
      </c>
      <c r="B26" t="s">
        <v>26</v>
      </c>
      <c r="C26">
        <v>2024</v>
      </c>
      <c r="D26" s="1">
        <v>45403</v>
      </c>
      <c r="E26" s="2">
        <v>0.83333333333333326</v>
      </c>
      <c r="F26" t="s">
        <v>50</v>
      </c>
      <c r="G26" t="s">
        <v>42</v>
      </c>
      <c r="H26">
        <v>0</v>
      </c>
      <c r="I26">
        <v>0</v>
      </c>
      <c r="J26" t="s">
        <v>29</v>
      </c>
      <c r="K26">
        <v>21</v>
      </c>
      <c r="L26">
        <v>321</v>
      </c>
      <c r="M26">
        <v>408</v>
      </c>
      <c r="N26">
        <v>225</v>
      </c>
      <c r="O26">
        <v>332</v>
      </c>
      <c r="P26">
        <v>42</v>
      </c>
      <c r="Q26">
        <v>209</v>
      </c>
      <c r="R26">
        <v>318</v>
      </c>
      <c r="S26">
        <v>378</v>
      </c>
      <c r="T26" t="s">
        <v>30</v>
      </c>
      <c r="U26" t="s">
        <v>30</v>
      </c>
      <c r="V26" t="s">
        <v>30</v>
      </c>
      <c r="W26" t="s">
        <v>30</v>
      </c>
      <c r="X26" t="s">
        <v>30</v>
      </c>
      <c r="Y26" t="s">
        <v>30</v>
      </c>
    </row>
    <row r="27" spans="1:25" x14ac:dyDescent="0.25">
      <c r="A27" t="s">
        <v>25</v>
      </c>
      <c r="B27" t="s">
        <v>26</v>
      </c>
      <c r="C27">
        <v>2024</v>
      </c>
      <c r="D27" s="1">
        <v>45403</v>
      </c>
      <c r="E27" s="2">
        <v>0.83333333333333326</v>
      </c>
      <c r="F27" t="s">
        <v>49</v>
      </c>
      <c r="G27" t="s">
        <v>32</v>
      </c>
      <c r="H27">
        <v>2</v>
      </c>
      <c r="I27">
        <v>2</v>
      </c>
      <c r="J27" t="s">
        <v>29</v>
      </c>
      <c r="K27">
        <v>343</v>
      </c>
      <c r="L27">
        <v>326</v>
      </c>
      <c r="M27">
        <v>23</v>
      </c>
      <c r="N27">
        <v>354</v>
      </c>
      <c r="O27">
        <v>338</v>
      </c>
      <c r="P27">
        <v>25</v>
      </c>
      <c r="Q27">
        <v>326</v>
      </c>
      <c r="R27">
        <v>325</v>
      </c>
      <c r="S27">
        <v>226</v>
      </c>
      <c r="T27" t="s">
        <v>30</v>
      </c>
      <c r="U27" t="s">
        <v>30</v>
      </c>
      <c r="V27" t="s">
        <v>30</v>
      </c>
      <c r="W27" t="s">
        <v>30</v>
      </c>
      <c r="X27" t="s">
        <v>30</v>
      </c>
      <c r="Y27" t="s">
        <v>30</v>
      </c>
    </row>
    <row r="28" spans="1:25" x14ac:dyDescent="0.25">
      <c r="A28" t="s">
        <v>25</v>
      </c>
      <c r="B28" t="s">
        <v>26</v>
      </c>
      <c r="C28">
        <v>2024</v>
      </c>
      <c r="D28" s="1">
        <v>45403</v>
      </c>
      <c r="E28" s="2">
        <v>0.9375</v>
      </c>
      <c r="F28" t="s">
        <v>41</v>
      </c>
      <c r="G28" t="s">
        <v>36</v>
      </c>
      <c r="H28">
        <v>0</v>
      </c>
      <c r="I28">
        <v>3</v>
      </c>
      <c r="J28" t="s">
        <v>38</v>
      </c>
      <c r="K28">
        <v>303</v>
      </c>
      <c r="L28">
        <v>303</v>
      </c>
      <c r="M28">
        <v>268</v>
      </c>
      <c r="N28">
        <v>303</v>
      </c>
      <c r="O28">
        <v>315</v>
      </c>
      <c r="P28">
        <v>28</v>
      </c>
      <c r="Q28">
        <v>287</v>
      </c>
      <c r="R28">
        <v>299</v>
      </c>
      <c r="S28">
        <v>265</v>
      </c>
      <c r="T28" t="s">
        <v>30</v>
      </c>
      <c r="U28" t="s">
        <v>30</v>
      </c>
      <c r="V28" t="s">
        <v>30</v>
      </c>
      <c r="W28" t="s">
        <v>30</v>
      </c>
      <c r="X28" t="s">
        <v>30</v>
      </c>
      <c r="Y28" t="s">
        <v>30</v>
      </c>
    </row>
    <row r="29" spans="1:25" x14ac:dyDescent="0.25">
      <c r="A29" t="s">
        <v>25</v>
      </c>
      <c r="B29" t="s">
        <v>26</v>
      </c>
      <c r="C29">
        <v>2024</v>
      </c>
      <c r="D29" s="1">
        <v>45403</v>
      </c>
      <c r="E29" s="2">
        <v>0.9375</v>
      </c>
      <c r="F29" t="s">
        <v>48</v>
      </c>
      <c r="G29" t="s">
        <v>28</v>
      </c>
      <c r="H29">
        <v>5</v>
      </c>
      <c r="I29">
        <v>1</v>
      </c>
      <c r="J29" t="s">
        <v>33</v>
      </c>
      <c r="K29">
        <v>158</v>
      </c>
      <c r="L29">
        <v>393</v>
      </c>
      <c r="M29">
        <v>656</v>
      </c>
      <c r="N29">
        <v>167</v>
      </c>
      <c r="O29">
        <v>406</v>
      </c>
      <c r="P29">
        <v>68</v>
      </c>
      <c r="Q29">
        <v>16</v>
      </c>
      <c r="R29">
        <v>371</v>
      </c>
      <c r="S29">
        <v>603</v>
      </c>
      <c r="T29" t="s">
        <v>30</v>
      </c>
      <c r="U29" t="s">
        <v>30</v>
      </c>
      <c r="V29" t="s">
        <v>30</v>
      </c>
      <c r="W29" t="s">
        <v>30</v>
      </c>
      <c r="X29" t="s">
        <v>30</v>
      </c>
      <c r="Y29" t="s">
        <v>30</v>
      </c>
    </row>
    <row r="30" spans="1:25" x14ac:dyDescent="0.25">
      <c r="A30" t="s">
        <v>25</v>
      </c>
      <c r="B30" t="s">
        <v>26</v>
      </c>
      <c r="C30">
        <v>2024</v>
      </c>
      <c r="D30" s="1">
        <v>45409</v>
      </c>
      <c r="E30" s="2">
        <v>0.83333333333333326</v>
      </c>
      <c r="F30" t="s">
        <v>45</v>
      </c>
      <c r="G30" t="s">
        <v>27</v>
      </c>
      <c r="H30">
        <v>0</v>
      </c>
      <c r="I30">
        <v>4</v>
      </c>
      <c r="J30" t="s">
        <v>38</v>
      </c>
      <c r="K30">
        <v>167</v>
      </c>
      <c r="L30">
        <v>365</v>
      </c>
      <c r="M30">
        <v>611</v>
      </c>
      <c r="N30">
        <v>173</v>
      </c>
      <c r="O30">
        <v>375</v>
      </c>
      <c r="P30">
        <v>611</v>
      </c>
      <c r="Q30">
        <v>166</v>
      </c>
      <c r="R30">
        <v>357</v>
      </c>
      <c r="S30">
        <v>558</v>
      </c>
      <c r="T30" t="s">
        <v>30</v>
      </c>
      <c r="U30" t="s">
        <v>30</v>
      </c>
      <c r="V30" t="s">
        <v>30</v>
      </c>
      <c r="W30" t="s">
        <v>30</v>
      </c>
      <c r="X30" t="s">
        <v>30</v>
      </c>
      <c r="Y30" t="s">
        <v>30</v>
      </c>
    </row>
    <row r="31" spans="1:25" x14ac:dyDescent="0.25">
      <c r="A31" t="s">
        <v>25</v>
      </c>
      <c r="B31" t="s">
        <v>26</v>
      </c>
      <c r="C31">
        <v>2024</v>
      </c>
      <c r="D31" s="1">
        <v>45409</v>
      </c>
      <c r="E31" s="2">
        <v>0.9375</v>
      </c>
      <c r="F31" t="s">
        <v>40</v>
      </c>
      <c r="G31" t="s">
        <v>44</v>
      </c>
      <c r="H31">
        <v>0</v>
      </c>
      <c r="I31">
        <v>3</v>
      </c>
      <c r="J31" t="s">
        <v>38</v>
      </c>
      <c r="K31">
        <v>365</v>
      </c>
      <c r="L31">
        <v>286</v>
      </c>
      <c r="M31">
        <v>244</v>
      </c>
      <c r="N31">
        <v>374</v>
      </c>
      <c r="O31">
        <v>3</v>
      </c>
      <c r="P31">
        <v>25</v>
      </c>
      <c r="Q31">
        <v>351</v>
      </c>
      <c r="R31">
        <v>285</v>
      </c>
      <c r="S31">
        <v>235</v>
      </c>
      <c r="T31" t="s">
        <v>30</v>
      </c>
      <c r="U31" t="s">
        <v>30</v>
      </c>
      <c r="V31" t="s">
        <v>30</v>
      </c>
      <c r="W31" t="s">
        <v>30</v>
      </c>
      <c r="X31" t="s">
        <v>30</v>
      </c>
      <c r="Y31" t="s">
        <v>30</v>
      </c>
    </row>
    <row r="32" spans="1:25" x14ac:dyDescent="0.25">
      <c r="A32" t="s">
        <v>25</v>
      </c>
      <c r="B32" t="s">
        <v>26</v>
      </c>
      <c r="C32">
        <v>2024</v>
      </c>
      <c r="D32" s="1">
        <v>45410</v>
      </c>
      <c r="E32" s="2">
        <v>4.1666666666666664E-2</v>
      </c>
      <c r="F32" t="s">
        <v>32</v>
      </c>
      <c r="G32" t="s">
        <v>46</v>
      </c>
      <c r="H32">
        <v>1</v>
      </c>
      <c r="I32">
        <v>0</v>
      </c>
      <c r="J32" t="s">
        <v>33</v>
      </c>
      <c r="K32">
        <v>174</v>
      </c>
      <c r="L32">
        <v>394</v>
      </c>
      <c r="M32">
        <v>484</v>
      </c>
      <c r="N32">
        <v>179</v>
      </c>
      <c r="O32">
        <v>394</v>
      </c>
      <c r="P32">
        <v>5</v>
      </c>
      <c r="Q32">
        <v>172</v>
      </c>
      <c r="R32">
        <v>376</v>
      </c>
      <c r="S32">
        <v>465</v>
      </c>
      <c r="T32" t="s">
        <v>30</v>
      </c>
      <c r="U32" t="s">
        <v>30</v>
      </c>
      <c r="V32" t="s">
        <v>30</v>
      </c>
      <c r="W32" t="s">
        <v>30</v>
      </c>
      <c r="X32" t="s">
        <v>30</v>
      </c>
      <c r="Y32" t="s">
        <v>30</v>
      </c>
    </row>
    <row r="33" spans="1:25" x14ac:dyDescent="0.25">
      <c r="A33" t="s">
        <v>25</v>
      </c>
      <c r="B33" t="s">
        <v>26</v>
      </c>
      <c r="C33">
        <v>2024</v>
      </c>
      <c r="D33" s="1">
        <v>45410</v>
      </c>
      <c r="E33" s="2">
        <v>0.625</v>
      </c>
      <c r="F33" t="s">
        <v>42</v>
      </c>
      <c r="G33" t="s">
        <v>48</v>
      </c>
      <c r="H33">
        <v>0</v>
      </c>
      <c r="I33">
        <v>2</v>
      </c>
      <c r="J33" t="s">
        <v>38</v>
      </c>
      <c r="K33">
        <v>159</v>
      </c>
      <c r="L33">
        <v>415</v>
      </c>
      <c r="M33">
        <v>595</v>
      </c>
      <c r="N33">
        <v>161</v>
      </c>
      <c r="O33">
        <v>428</v>
      </c>
      <c r="P33">
        <v>6</v>
      </c>
      <c r="Q33">
        <v>158</v>
      </c>
      <c r="R33">
        <v>398</v>
      </c>
      <c r="S33">
        <v>558</v>
      </c>
      <c r="T33" t="s">
        <v>30</v>
      </c>
      <c r="U33" t="s">
        <v>30</v>
      </c>
      <c r="V33" t="s">
        <v>30</v>
      </c>
      <c r="W33" t="s">
        <v>30</v>
      </c>
      <c r="X33" t="s">
        <v>30</v>
      </c>
      <c r="Y33" t="s">
        <v>30</v>
      </c>
    </row>
    <row r="34" spans="1:25" x14ac:dyDescent="0.25">
      <c r="A34" t="s">
        <v>25</v>
      </c>
      <c r="B34" t="s">
        <v>26</v>
      </c>
      <c r="C34">
        <v>2024</v>
      </c>
      <c r="D34" s="1">
        <v>45410</v>
      </c>
      <c r="E34" s="2">
        <v>0.83333333333333326</v>
      </c>
      <c r="F34" t="s">
        <v>43</v>
      </c>
      <c r="G34" t="s">
        <v>34</v>
      </c>
      <c r="H34">
        <v>3</v>
      </c>
      <c r="I34">
        <v>0</v>
      </c>
      <c r="J34" t="s">
        <v>33</v>
      </c>
      <c r="K34">
        <v>22</v>
      </c>
      <c r="L34">
        <v>325</v>
      </c>
      <c r="M34">
        <v>368</v>
      </c>
      <c r="N34">
        <v>228</v>
      </c>
      <c r="O34">
        <v>326</v>
      </c>
      <c r="P34">
        <v>368</v>
      </c>
      <c r="Q34">
        <v>219</v>
      </c>
      <c r="R34">
        <v>313</v>
      </c>
      <c r="S34">
        <v>348</v>
      </c>
      <c r="T34" t="s">
        <v>30</v>
      </c>
      <c r="U34" t="s">
        <v>30</v>
      </c>
      <c r="V34" t="s">
        <v>30</v>
      </c>
      <c r="W34" t="s">
        <v>30</v>
      </c>
      <c r="X34" t="s">
        <v>30</v>
      </c>
      <c r="Y34" t="s">
        <v>30</v>
      </c>
    </row>
    <row r="35" spans="1:25" x14ac:dyDescent="0.25">
      <c r="A35" t="s">
        <v>25</v>
      </c>
      <c r="B35" t="s">
        <v>26</v>
      </c>
      <c r="C35">
        <v>2024</v>
      </c>
      <c r="D35" s="1">
        <v>45410</v>
      </c>
      <c r="E35" s="2">
        <v>0.83333333333333326</v>
      </c>
      <c r="F35" t="s">
        <v>47</v>
      </c>
      <c r="G35" t="s">
        <v>49</v>
      </c>
      <c r="H35">
        <v>3</v>
      </c>
      <c r="I35">
        <v>1</v>
      </c>
      <c r="J35" t="s">
        <v>33</v>
      </c>
      <c r="K35">
        <v>155</v>
      </c>
      <c r="L35">
        <v>406</v>
      </c>
      <c r="M35">
        <v>682</v>
      </c>
      <c r="N35">
        <v>16</v>
      </c>
      <c r="O35">
        <v>428</v>
      </c>
      <c r="P35">
        <v>682</v>
      </c>
      <c r="Q35">
        <v>153</v>
      </c>
      <c r="R35">
        <v>395</v>
      </c>
      <c r="S35">
        <v>635</v>
      </c>
      <c r="T35" t="s">
        <v>30</v>
      </c>
      <c r="U35" t="s">
        <v>30</v>
      </c>
      <c r="V35" t="s">
        <v>30</v>
      </c>
      <c r="W35" t="s">
        <v>30</v>
      </c>
      <c r="X35" t="s">
        <v>30</v>
      </c>
      <c r="Y35" t="s">
        <v>30</v>
      </c>
    </row>
    <row r="36" spans="1:25" x14ac:dyDescent="0.25">
      <c r="A36" t="s">
        <v>25</v>
      </c>
      <c r="B36" t="s">
        <v>26</v>
      </c>
      <c r="C36">
        <v>2024</v>
      </c>
      <c r="D36" s="1">
        <v>45410</v>
      </c>
      <c r="E36" s="2">
        <v>0.9375</v>
      </c>
      <c r="F36" t="s">
        <v>37</v>
      </c>
      <c r="G36" t="s">
        <v>35</v>
      </c>
      <c r="H36">
        <v>1</v>
      </c>
      <c r="I36">
        <v>1</v>
      </c>
      <c r="J36" t="s">
        <v>29</v>
      </c>
      <c r="K36">
        <v>226</v>
      </c>
      <c r="L36">
        <v>323</v>
      </c>
      <c r="M36">
        <v>356</v>
      </c>
      <c r="N36">
        <v>23</v>
      </c>
      <c r="O36">
        <v>34</v>
      </c>
      <c r="P36">
        <v>36</v>
      </c>
      <c r="Q36">
        <v>22</v>
      </c>
      <c r="R36">
        <v>318</v>
      </c>
      <c r="S36">
        <v>338</v>
      </c>
      <c r="T36" t="s">
        <v>30</v>
      </c>
      <c r="U36" t="s">
        <v>30</v>
      </c>
      <c r="V36" t="s">
        <v>30</v>
      </c>
      <c r="W36" t="s">
        <v>30</v>
      </c>
      <c r="X36" t="s">
        <v>30</v>
      </c>
      <c r="Y36" t="s">
        <v>30</v>
      </c>
    </row>
    <row r="37" spans="1:25" x14ac:dyDescent="0.25">
      <c r="A37" t="s">
        <v>25</v>
      </c>
      <c r="B37" t="s">
        <v>26</v>
      </c>
      <c r="C37">
        <v>2024</v>
      </c>
      <c r="D37" s="1">
        <v>45410</v>
      </c>
      <c r="E37" s="2">
        <v>0.9375</v>
      </c>
      <c r="F37" t="s">
        <v>28</v>
      </c>
      <c r="G37" t="s">
        <v>39</v>
      </c>
      <c r="H37">
        <v>1</v>
      </c>
      <c r="I37">
        <v>1</v>
      </c>
      <c r="J37" t="s">
        <v>29</v>
      </c>
      <c r="K37">
        <v>302</v>
      </c>
      <c r="L37">
        <v>295</v>
      </c>
      <c r="M37">
        <v>276</v>
      </c>
      <c r="N37">
        <v>306</v>
      </c>
      <c r="O37">
        <v>32</v>
      </c>
      <c r="P37">
        <v>276</v>
      </c>
      <c r="Q37">
        <v>291</v>
      </c>
      <c r="R37">
        <v>297</v>
      </c>
      <c r="S37">
        <v>262</v>
      </c>
      <c r="T37" t="s">
        <v>30</v>
      </c>
      <c r="U37" t="s">
        <v>30</v>
      </c>
      <c r="V37" t="s">
        <v>30</v>
      </c>
      <c r="W37" t="s">
        <v>30</v>
      </c>
      <c r="X37" t="s">
        <v>30</v>
      </c>
      <c r="Y37" t="s">
        <v>30</v>
      </c>
    </row>
    <row r="38" spans="1:25" x14ac:dyDescent="0.25">
      <c r="A38" t="s">
        <v>25</v>
      </c>
      <c r="B38" t="s">
        <v>26</v>
      </c>
      <c r="C38">
        <v>2024</v>
      </c>
      <c r="D38" s="1">
        <v>45411</v>
      </c>
      <c r="E38" s="2">
        <v>0</v>
      </c>
      <c r="F38" t="s">
        <v>31</v>
      </c>
      <c r="G38" t="s">
        <v>41</v>
      </c>
      <c r="H38">
        <v>1</v>
      </c>
      <c r="I38">
        <v>1</v>
      </c>
      <c r="J38" t="s">
        <v>29</v>
      </c>
      <c r="K38">
        <v>157</v>
      </c>
      <c r="L38">
        <v>383</v>
      </c>
      <c r="M38">
        <v>723</v>
      </c>
      <c r="N38">
        <v>158</v>
      </c>
      <c r="O38">
        <v>41</v>
      </c>
      <c r="P38">
        <v>732</v>
      </c>
      <c r="Q38">
        <v>153</v>
      </c>
      <c r="R38">
        <v>379</v>
      </c>
      <c r="S38">
        <v>663</v>
      </c>
      <c r="T38" t="s">
        <v>30</v>
      </c>
      <c r="U38" t="s">
        <v>30</v>
      </c>
      <c r="V38" t="s">
        <v>30</v>
      </c>
      <c r="W38" t="s">
        <v>30</v>
      </c>
      <c r="X38" t="s">
        <v>30</v>
      </c>
      <c r="Y38" t="s">
        <v>30</v>
      </c>
    </row>
    <row r="39" spans="1:25" x14ac:dyDescent="0.25">
      <c r="A39" t="s">
        <v>25</v>
      </c>
      <c r="B39" t="s">
        <v>26</v>
      </c>
      <c r="C39">
        <v>2024</v>
      </c>
      <c r="D39" s="1">
        <v>45412</v>
      </c>
      <c r="E39" s="2">
        <v>0</v>
      </c>
      <c r="F39" t="s">
        <v>36</v>
      </c>
      <c r="G39" t="s">
        <v>50</v>
      </c>
      <c r="H39">
        <v>0</v>
      </c>
      <c r="I39">
        <v>0</v>
      </c>
      <c r="J39" t="s">
        <v>29</v>
      </c>
      <c r="K39">
        <v>265</v>
      </c>
      <c r="L39">
        <v>298</v>
      </c>
      <c r="M39">
        <v>312</v>
      </c>
      <c r="N39">
        <v>277</v>
      </c>
      <c r="O39">
        <v>305</v>
      </c>
      <c r="P39">
        <v>315</v>
      </c>
      <c r="Q39">
        <v>261</v>
      </c>
      <c r="R39">
        <v>292</v>
      </c>
      <c r="S39">
        <v>298</v>
      </c>
      <c r="T39" t="s">
        <v>30</v>
      </c>
      <c r="U39" t="s">
        <v>30</v>
      </c>
      <c r="V39" t="s">
        <v>30</v>
      </c>
      <c r="W39" t="s">
        <v>30</v>
      </c>
      <c r="X39" t="s">
        <v>30</v>
      </c>
      <c r="Y39" t="s">
        <v>30</v>
      </c>
    </row>
    <row r="40" spans="1:25" x14ac:dyDescent="0.25">
      <c r="A40" t="s">
        <v>25</v>
      </c>
      <c r="B40" t="s">
        <v>26</v>
      </c>
      <c r="C40">
        <v>2024</v>
      </c>
      <c r="D40" s="1">
        <v>45416</v>
      </c>
      <c r="E40" s="2">
        <v>0.83333333333333326</v>
      </c>
      <c r="F40" t="s">
        <v>34</v>
      </c>
      <c r="G40" t="s">
        <v>44</v>
      </c>
      <c r="H40">
        <v>2</v>
      </c>
      <c r="I40">
        <v>2</v>
      </c>
      <c r="J40" t="s">
        <v>29</v>
      </c>
      <c r="K40">
        <v>373</v>
      </c>
      <c r="L40">
        <v>333</v>
      </c>
      <c r="M40">
        <v>215</v>
      </c>
      <c r="N40">
        <v>373</v>
      </c>
      <c r="O40">
        <v>337</v>
      </c>
      <c r="P40">
        <v>226</v>
      </c>
      <c r="Q40">
        <v>344</v>
      </c>
      <c r="R40">
        <v>324</v>
      </c>
      <c r="S40">
        <v>216</v>
      </c>
      <c r="T40" t="s">
        <v>30</v>
      </c>
      <c r="U40" t="s">
        <v>30</v>
      </c>
      <c r="V40" t="s">
        <v>30</v>
      </c>
      <c r="W40" t="s">
        <v>30</v>
      </c>
      <c r="X40" t="s">
        <v>30</v>
      </c>
      <c r="Y40" t="s">
        <v>30</v>
      </c>
    </row>
    <row r="41" spans="1:25" x14ac:dyDescent="0.25">
      <c r="A41" t="s">
        <v>25</v>
      </c>
      <c r="B41" t="s">
        <v>26</v>
      </c>
      <c r="C41">
        <v>2024</v>
      </c>
      <c r="D41" s="1">
        <v>45416</v>
      </c>
      <c r="E41" s="2">
        <v>0.9375</v>
      </c>
      <c r="F41" t="s">
        <v>35</v>
      </c>
      <c r="G41" t="s">
        <v>42</v>
      </c>
      <c r="H41">
        <v>1</v>
      </c>
      <c r="I41">
        <v>1</v>
      </c>
      <c r="J41" t="s">
        <v>29</v>
      </c>
      <c r="K41">
        <v>282</v>
      </c>
      <c r="L41">
        <v>317</v>
      </c>
      <c r="M41">
        <v>275</v>
      </c>
      <c r="N41">
        <v>29</v>
      </c>
      <c r="O41">
        <v>325</v>
      </c>
      <c r="P41">
        <v>275</v>
      </c>
      <c r="Q41">
        <v>28</v>
      </c>
      <c r="R41">
        <v>311</v>
      </c>
      <c r="S41">
        <v>26</v>
      </c>
      <c r="T41" t="s">
        <v>30</v>
      </c>
      <c r="U41" t="s">
        <v>30</v>
      </c>
      <c r="V41" t="s">
        <v>30</v>
      </c>
      <c r="W41" t="s">
        <v>30</v>
      </c>
      <c r="X41" t="s">
        <v>30</v>
      </c>
      <c r="Y41" t="s">
        <v>30</v>
      </c>
    </row>
    <row r="42" spans="1:25" x14ac:dyDescent="0.25">
      <c r="A42" t="s">
        <v>25</v>
      </c>
      <c r="B42" t="s">
        <v>26</v>
      </c>
      <c r="C42">
        <v>2024</v>
      </c>
      <c r="D42" s="1">
        <v>45417</v>
      </c>
      <c r="E42" s="2">
        <v>4.1666666666666664E-2</v>
      </c>
      <c r="F42" t="s">
        <v>43</v>
      </c>
      <c r="G42" t="s">
        <v>37</v>
      </c>
      <c r="H42">
        <v>0</v>
      </c>
      <c r="I42">
        <v>0</v>
      </c>
      <c r="J42" t="s">
        <v>29</v>
      </c>
      <c r="K42">
        <v>215</v>
      </c>
      <c r="L42">
        <v>313</v>
      </c>
      <c r="M42">
        <v>4</v>
      </c>
      <c r="N42">
        <v>221</v>
      </c>
      <c r="O42">
        <v>33</v>
      </c>
      <c r="P42">
        <v>41</v>
      </c>
      <c r="Q42">
        <v>213</v>
      </c>
      <c r="R42">
        <v>306</v>
      </c>
      <c r="S42">
        <v>378</v>
      </c>
      <c r="T42" t="s">
        <v>30</v>
      </c>
      <c r="U42" t="s">
        <v>30</v>
      </c>
      <c r="V42" t="s">
        <v>30</v>
      </c>
      <c r="W42" t="s">
        <v>30</v>
      </c>
      <c r="X42" t="s">
        <v>30</v>
      </c>
      <c r="Y42" t="s">
        <v>30</v>
      </c>
    </row>
    <row r="43" spans="1:25" x14ac:dyDescent="0.25">
      <c r="A43" t="s">
        <v>25</v>
      </c>
      <c r="B43" t="s">
        <v>26</v>
      </c>
      <c r="C43">
        <v>2024</v>
      </c>
      <c r="D43" s="1">
        <v>45417</v>
      </c>
      <c r="E43" s="2">
        <v>0.83333333333333326</v>
      </c>
      <c r="F43" t="s">
        <v>39</v>
      </c>
      <c r="G43" t="s">
        <v>45</v>
      </c>
      <c r="H43">
        <v>1</v>
      </c>
      <c r="I43">
        <v>0</v>
      </c>
      <c r="J43" t="s">
        <v>33</v>
      </c>
      <c r="K43">
        <v>168</v>
      </c>
      <c r="L43">
        <v>383</v>
      </c>
      <c r="M43">
        <v>551</v>
      </c>
      <c r="N43">
        <v>17</v>
      </c>
      <c r="O43">
        <v>405</v>
      </c>
      <c r="P43">
        <v>56</v>
      </c>
      <c r="Q43">
        <v>166</v>
      </c>
      <c r="R43">
        <v>373</v>
      </c>
      <c r="S43">
        <v>522</v>
      </c>
      <c r="T43" t="s">
        <v>30</v>
      </c>
      <c r="U43" t="s">
        <v>30</v>
      </c>
      <c r="V43" t="s">
        <v>30</v>
      </c>
      <c r="W43" t="s">
        <v>30</v>
      </c>
      <c r="X43" t="s">
        <v>30</v>
      </c>
      <c r="Y43" t="s">
        <v>30</v>
      </c>
    </row>
    <row r="44" spans="1:25" x14ac:dyDescent="0.25">
      <c r="A44" t="s">
        <v>25</v>
      </c>
      <c r="B44" t="s">
        <v>26</v>
      </c>
      <c r="C44">
        <v>2024</v>
      </c>
      <c r="D44" s="1">
        <v>45417</v>
      </c>
      <c r="E44" s="2">
        <v>0.83333333333333326</v>
      </c>
      <c r="F44" t="s">
        <v>49</v>
      </c>
      <c r="G44" t="s">
        <v>36</v>
      </c>
      <c r="H44">
        <v>1</v>
      </c>
      <c r="I44">
        <v>3</v>
      </c>
      <c r="J44" t="s">
        <v>38</v>
      </c>
      <c r="K44">
        <v>385</v>
      </c>
      <c r="L44">
        <v>305</v>
      </c>
      <c r="M44">
        <v>224</v>
      </c>
      <c r="N44">
        <v>385</v>
      </c>
      <c r="O44">
        <v>325</v>
      </c>
      <c r="P44">
        <v>225</v>
      </c>
      <c r="Q44">
        <v>366</v>
      </c>
      <c r="R44">
        <v>304</v>
      </c>
      <c r="S44">
        <v>218</v>
      </c>
      <c r="T44" t="s">
        <v>30</v>
      </c>
      <c r="U44" t="s">
        <v>30</v>
      </c>
      <c r="V44" t="s">
        <v>30</v>
      </c>
      <c r="W44" t="s">
        <v>30</v>
      </c>
      <c r="X44" t="s">
        <v>30</v>
      </c>
      <c r="Y44" t="s">
        <v>30</v>
      </c>
    </row>
    <row r="45" spans="1:25" x14ac:dyDescent="0.25">
      <c r="A45" t="s">
        <v>25</v>
      </c>
      <c r="B45" t="s">
        <v>26</v>
      </c>
      <c r="C45">
        <v>2024</v>
      </c>
      <c r="D45" s="1">
        <v>45417</v>
      </c>
      <c r="E45" s="2">
        <v>0.9375</v>
      </c>
      <c r="F45" t="s">
        <v>48</v>
      </c>
      <c r="G45" t="s">
        <v>32</v>
      </c>
      <c r="H45">
        <v>1</v>
      </c>
      <c r="I45">
        <v>2</v>
      </c>
      <c r="J45" t="s">
        <v>38</v>
      </c>
      <c r="K45">
        <v>215</v>
      </c>
      <c r="L45">
        <v>355</v>
      </c>
      <c r="M45">
        <v>35</v>
      </c>
      <c r="N45">
        <v>219</v>
      </c>
      <c r="O45">
        <v>363</v>
      </c>
      <c r="P45">
        <v>35</v>
      </c>
      <c r="Q45">
        <v>211</v>
      </c>
      <c r="R45">
        <v>348</v>
      </c>
      <c r="S45">
        <v>334</v>
      </c>
      <c r="T45" t="s">
        <v>30</v>
      </c>
      <c r="U45" t="s">
        <v>30</v>
      </c>
      <c r="V45" t="s">
        <v>30</v>
      </c>
      <c r="W45" t="s">
        <v>30</v>
      </c>
      <c r="X45" t="s">
        <v>30</v>
      </c>
      <c r="Y45" t="s">
        <v>30</v>
      </c>
    </row>
    <row r="46" spans="1:25" x14ac:dyDescent="0.25">
      <c r="A46" t="s">
        <v>25</v>
      </c>
      <c r="B46" t="s">
        <v>26</v>
      </c>
      <c r="C46">
        <v>2024</v>
      </c>
      <c r="D46" s="1">
        <v>45417</v>
      </c>
      <c r="E46" s="2">
        <v>0.9375</v>
      </c>
      <c r="F46" t="s">
        <v>40</v>
      </c>
      <c r="G46" t="s">
        <v>50</v>
      </c>
      <c r="H46">
        <v>0</v>
      </c>
      <c r="I46">
        <v>2</v>
      </c>
      <c r="J46" t="s">
        <v>38</v>
      </c>
      <c r="K46">
        <v>529</v>
      </c>
      <c r="L46">
        <v>315</v>
      </c>
      <c r="M46">
        <v>189</v>
      </c>
      <c r="N46">
        <v>56</v>
      </c>
      <c r="O46">
        <v>345</v>
      </c>
      <c r="P46">
        <v>191</v>
      </c>
      <c r="Q46">
        <v>499</v>
      </c>
      <c r="R46">
        <v>318</v>
      </c>
      <c r="S46">
        <v>183</v>
      </c>
      <c r="T46" t="s">
        <v>30</v>
      </c>
      <c r="U46" t="s">
        <v>30</v>
      </c>
      <c r="V46" t="s">
        <v>30</v>
      </c>
      <c r="W46" t="s">
        <v>30</v>
      </c>
      <c r="X46" t="s">
        <v>30</v>
      </c>
      <c r="Y46" t="s">
        <v>30</v>
      </c>
    </row>
    <row r="47" spans="1:25" x14ac:dyDescent="0.25">
      <c r="A47" t="s">
        <v>25</v>
      </c>
      <c r="B47" t="s">
        <v>26</v>
      </c>
      <c r="C47">
        <v>2024</v>
      </c>
      <c r="D47" s="1">
        <v>45423</v>
      </c>
      <c r="E47" s="2">
        <v>0.83333333333333326</v>
      </c>
      <c r="F47" t="s">
        <v>42</v>
      </c>
      <c r="G47" t="s">
        <v>43</v>
      </c>
      <c r="H47">
        <v>2</v>
      </c>
      <c r="I47">
        <v>0</v>
      </c>
      <c r="J47" t="s">
        <v>33</v>
      </c>
      <c r="K47">
        <v>16</v>
      </c>
      <c r="L47">
        <v>391</v>
      </c>
      <c r="M47">
        <v>643</v>
      </c>
      <c r="N47">
        <v>165</v>
      </c>
      <c r="O47">
        <v>42</v>
      </c>
      <c r="P47">
        <v>65</v>
      </c>
      <c r="Q47">
        <v>159</v>
      </c>
      <c r="R47">
        <v>38</v>
      </c>
      <c r="S47">
        <v>603</v>
      </c>
      <c r="T47" t="s">
        <v>30</v>
      </c>
      <c r="U47" t="s">
        <v>30</v>
      </c>
      <c r="V47" t="s">
        <v>30</v>
      </c>
      <c r="W47" t="s">
        <v>30</v>
      </c>
      <c r="X47" t="s">
        <v>30</v>
      </c>
      <c r="Y47" t="s">
        <v>30</v>
      </c>
    </row>
    <row r="48" spans="1:25" x14ac:dyDescent="0.25">
      <c r="A48" t="s">
        <v>25</v>
      </c>
      <c r="B48" t="s">
        <v>26</v>
      </c>
      <c r="C48">
        <v>2024</v>
      </c>
      <c r="D48" s="1">
        <v>45424</v>
      </c>
      <c r="E48" s="2">
        <v>0.83333333333333326</v>
      </c>
      <c r="F48" t="s">
        <v>41</v>
      </c>
      <c r="G48" t="s">
        <v>47</v>
      </c>
      <c r="H48">
        <v>0</v>
      </c>
      <c r="I48">
        <v>1</v>
      </c>
      <c r="J48" t="s">
        <v>38</v>
      </c>
      <c r="K48">
        <v>314</v>
      </c>
      <c r="L48">
        <v>317</v>
      </c>
      <c r="M48">
        <v>251</v>
      </c>
      <c r="N48">
        <v>314</v>
      </c>
      <c r="O48">
        <v>33</v>
      </c>
      <c r="P48">
        <v>28</v>
      </c>
      <c r="Q48">
        <v>298</v>
      </c>
      <c r="R48">
        <v>311</v>
      </c>
      <c r="S48">
        <v>248</v>
      </c>
      <c r="T48" t="s">
        <v>30</v>
      </c>
      <c r="U48" t="s">
        <v>30</v>
      </c>
      <c r="V48" t="s">
        <v>30</v>
      </c>
      <c r="W48" t="s">
        <v>30</v>
      </c>
      <c r="X48" t="s">
        <v>30</v>
      </c>
      <c r="Y48" t="s">
        <v>30</v>
      </c>
    </row>
    <row r="49" spans="1:25" x14ac:dyDescent="0.25">
      <c r="A49" t="s">
        <v>25</v>
      </c>
      <c r="B49" t="s">
        <v>26</v>
      </c>
      <c r="C49">
        <v>2024</v>
      </c>
      <c r="D49" s="1">
        <v>45424</v>
      </c>
      <c r="E49" s="2">
        <v>0.83333333333333326</v>
      </c>
      <c r="F49" t="s">
        <v>37</v>
      </c>
      <c r="G49" t="s">
        <v>48</v>
      </c>
      <c r="H49">
        <v>1</v>
      </c>
      <c r="I49">
        <v>1</v>
      </c>
      <c r="J49" t="s">
        <v>29</v>
      </c>
      <c r="K49">
        <v>198</v>
      </c>
      <c r="L49">
        <v>346</v>
      </c>
      <c r="M49">
        <v>415</v>
      </c>
      <c r="N49">
        <v>211</v>
      </c>
      <c r="O49">
        <v>35</v>
      </c>
      <c r="P49">
        <v>428</v>
      </c>
      <c r="Q49">
        <v>196</v>
      </c>
      <c r="R49">
        <v>338</v>
      </c>
      <c r="S49">
        <v>397</v>
      </c>
      <c r="T49" t="s">
        <v>30</v>
      </c>
      <c r="U49" t="s">
        <v>30</v>
      </c>
      <c r="V49" t="s">
        <v>30</v>
      </c>
      <c r="W49" t="s">
        <v>30</v>
      </c>
      <c r="X49" t="s">
        <v>30</v>
      </c>
      <c r="Y49" t="s">
        <v>30</v>
      </c>
    </row>
    <row r="50" spans="1:25" x14ac:dyDescent="0.25">
      <c r="A50" t="s">
        <v>25</v>
      </c>
      <c r="B50" t="s">
        <v>26</v>
      </c>
      <c r="C50">
        <v>2024</v>
      </c>
      <c r="D50" s="1">
        <v>45424</v>
      </c>
      <c r="E50" s="2">
        <v>0.83333333333333326</v>
      </c>
      <c r="F50" t="s">
        <v>50</v>
      </c>
      <c r="G50" t="s">
        <v>39</v>
      </c>
      <c r="H50">
        <v>0</v>
      </c>
      <c r="I50">
        <v>2</v>
      </c>
      <c r="J50" t="s">
        <v>38</v>
      </c>
      <c r="K50">
        <v>171</v>
      </c>
      <c r="L50">
        <v>379</v>
      </c>
      <c r="M50">
        <v>526</v>
      </c>
      <c r="N50">
        <v>175</v>
      </c>
      <c r="O50">
        <v>386</v>
      </c>
      <c r="P50">
        <v>526</v>
      </c>
      <c r="Q50">
        <v>17</v>
      </c>
      <c r="R50">
        <v>367</v>
      </c>
      <c r="S50">
        <v>496</v>
      </c>
      <c r="T50" t="s">
        <v>30</v>
      </c>
      <c r="U50" t="s">
        <v>30</v>
      </c>
      <c r="V50" t="s">
        <v>30</v>
      </c>
      <c r="W50" t="s">
        <v>30</v>
      </c>
      <c r="X50" t="s">
        <v>30</v>
      </c>
      <c r="Y50" t="s">
        <v>30</v>
      </c>
    </row>
    <row r="51" spans="1:25" x14ac:dyDescent="0.25">
      <c r="A51" t="s">
        <v>25</v>
      </c>
      <c r="B51" t="s">
        <v>26</v>
      </c>
      <c r="C51">
        <v>2024</v>
      </c>
      <c r="D51" s="1">
        <v>45424</v>
      </c>
      <c r="E51" s="2">
        <v>0.9375</v>
      </c>
      <c r="F51" t="s">
        <v>32</v>
      </c>
      <c r="G51" t="s">
        <v>35</v>
      </c>
      <c r="H51">
        <v>1</v>
      </c>
      <c r="I51">
        <v>0</v>
      </c>
      <c r="J51" t="s">
        <v>33</v>
      </c>
      <c r="K51">
        <v>181</v>
      </c>
      <c r="L51">
        <v>377</v>
      </c>
      <c r="M51">
        <v>451</v>
      </c>
      <c r="N51">
        <v>192</v>
      </c>
      <c r="O51">
        <v>387</v>
      </c>
      <c r="P51">
        <v>465</v>
      </c>
      <c r="Q51">
        <v>179</v>
      </c>
      <c r="R51">
        <v>37</v>
      </c>
      <c r="S51">
        <v>433</v>
      </c>
      <c r="T51" t="s">
        <v>30</v>
      </c>
      <c r="U51" t="s">
        <v>30</v>
      </c>
      <c r="V51" t="s">
        <v>30</v>
      </c>
      <c r="W51" t="s">
        <v>30</v>
      </c>
      <c r="X51" t="s">
        <v>30</v>
      </c>
      <c r="Y51" t="s">
        <v>30</v>
      </c>
    </row>
    <row r="52" spans="1:25" x14ac:dyDescent="0.25">
      <c r="A52" t="s">
        <v>25</v>
      </c>
      <c r="B52" t="s">
        <v>26</v>
      </c>
      <c r="C52">
        <v>2024</v>
      </c>
      <c r="D52" s="1">
        <v>45424</v>
      </c>
      <c r="E52" s="2">
        <v>0.9375</v>
      </c>
      <c r="F52" t="s">
        <v>45</v>
      </c>
      <c r="G52" t="s">
        <v>49</v>
      </c>
      <c r="H52">
        <v>2</v>
      </c>
      <c r="I52">
        <v>1</v>
      </c>
      <c r="J52" t="s">
        <v>33</v>
      </c>
      <c r="K52">
        <v>176</v>
      </c>
      <c r="L52">
        <v>365</v>
      </c>
      <c r="M52">
        <v>518</v>
      </c>
      <c r="N52">
        <v>179</v>
      </c>
      <c r="O52">
        <v>374</v>
      </c>
      <c r="P52">
        <v>518</v>
      </c>
      <c r="Q52">
        <v>173</v>
      </c>
      <c r="R52">
        <v>36</v>
      </c>
      <c r="S52">
        <v>489</v>
      </c>
      <c r="T52" t="s">
        <v>30</v>
      </c>
      <c r="U52" t="s">
        <v>30</v>
      </c>
      <c r="V52" t="s">
        <v>30</v>
      </c>
      <c r="W52" t="s">
        <v>30</v>
      </c>
      <c r="X52" t="s">
        <v>30</v>
      </c>
      <c r="Y52" t="s">
        <v>30</v>
      </c>
    </row>
    <row r="53" spans="1:25" x14ac:dyDescent="0.25">
      <c r="A53" t="s">
        <v>25</v>
      </c>
      <c r="B53" t="s">
        <v>26</v>
      </c>
      <c r="C53">
        <v>2024</v>
      </c>
      <c r="D53" s="1">
        <v>45426</v>
      </c>
      <c r="E53" s="2">
        <v>0</v>
      </c>
      <c r="F53" t="s">
        <v>36</v>
      </c>
      <c r="G53" t="s">
        <v>34</v>
      </c>
      <c r="H53">
        <v>2</v>
      </c>
      <c r="I53">
        <v>1</v>
      </c>
      <c r="J53" t="s">
        <v>33</v>
      </c>
      <c r="K53">
        <v>172</v>
      </c>
      <c r="L53">
        <v>366</v>
      </c>
      <c r="M53">
        <v>545</v>
      </c>
      <c r="N53">
        <v>175</v>
      </c>
      <c r="O53">
        <v>375</v>
      </c>
      <c r="P53">
        <v>55</v>
      </c>
      <c r="Q53">
        <v>169</v>
      </c>
      <c r="R53">
        <v>36</v>
      </c>
      <c r="S53">
        <v>515</v>
      </c>
      <c r="T53" t="s">
        <v>30</v>
      </c>
      <c r="U53" t="s">
        <v>30</v>
      </c>
      <c r="V53" t="s">
        <v>30</v>
      </c>
      <c r="W53" t="s">
        <v>30</v>
      </c>
      <c r="X53" t="s">
        <v>30</v>
      </c>
      <c r="Y53" t="s">
        <v>30</v>
      </c>
    </row>
    <row r="54" spans="1:25" x14ac:dyDescent="0.25">
      <c r="A54" t="s">
        <v>25</v>
      </c>
      <c r="B54" t="s">
        <v>26</v>
      </c>
      <c r="C54">
        <v>2024</v>
      </c>
      <c r="D54" s="1">
        <v>45444</v>
      </c>
      <c r="E54" s="2">
        <v>0.83333333333333326</v>
      </c>
      <c r="F54" t="s">
        <v>46</v>
      </c>
      <c r="G54" t="s">
        <v>35</v>
      </c>
      <c r="H54">
        <v>0</v>
      </c>
      <c r="I54">
        <v>2</v>
      </c>
      <c r="J54" t="s">
        <v>38</v>
      </c>
      <c r="K54">
        <v>332</v>
      </c>
      <c r="L54">
        <v>324</v>
      </c>
      <c r="M54">
        <v>236</v>
      </c>
      <c r="N54">
        <v>333</v>
      </c>
      <c r="O54">
        <v>324</v>
      </c>
      <c r="P54">
        <v>245</v>
      </c>
      <c r="Q54">
        <v>317</v>
      </c>
      <c r="R54">
        <v>315</v>
      </c>
      <c r="S54">
        <v>234</v>
      </c>
      <c r="T54" t="s">
        <v>30</v>
      </c>
      <c r="U54" t="s">
        <v>30</v>
      </c>
      <c r="V54" t="s">
        <v>30</v>
      </c>
      <c r="W54" t="s">
        <v>30</v>
      </c>
      <c r="X54" t="s">
        <v>30</v>
      </c>
      <c r="Y54" t="s">
        <v>30</v>
      </c>
    </row>
    <row r="55" spans="1:25" x14ac:dyDescent="0.25">
      <c r="A55" t="s">
        <v>25</v>
      </c>
      <c r="B55" t="s">
        <v>26</v>
      </c>
      <c r="C55">
        <v>2024</v>
      </c>
      <c r="D55" s="1">
        <v>45444</v>
      </c>
      <c r="E55" s="2">
        <v>0.83333333333333326</v>
      </c>
      <c r="F55" t="s">
        <v>49</v>
      </c>
      <c r="G55" t="s">
        <v>41</v>
      </c>
      <c r="H55">
        <v>0</v>
      </c>
      <c r="I55">
        <v>2</v>
      </c>
      <c r="J55" t="s">
        <v>38</v>
      </c>
      <c r="K55">
        <v>224</v>
      </c>
      <c r="L55">
        <v>318</v>
      </c>
      <c r="M55">
        <v>366</v>
      </c>
      <c r="N55">
        <v>231</v>
      </c>
      <c r="O55">
        <v>33</v>
      </c>
      <c r="P55">
        <v>37</v>
      </c>
      <c r="Q55">
        <v>22</v>
      </c>
      <c r="R55">
        <v>312</v>
      </c>
      <c r="S55">
        <v>351</v>
      </c>
      <c r="T55" t="s">
        <v>30</v>
      </c>
      <c r="U55" t="s">
        <v>30</v>
      </c>
      <c r="V55" t="s">
        <v>30</v>
      </c>
      <c r="W55" t="s">
        <v>30</v>
      </c>
      <c r="X55" t="s">
        <v>30</v>
      </c>
      <c r="Y55" t="s">
        <v>30</v>
      </c>
    </row>
    <row r="56" spans="1:25" x14ac:dyDescent="0.25">
      <c r="A56" t="s">
        <v>25</v>
      </c>
      <c r="B56" t="s">
        <v>26</v>
      </c>
      <c r="C56">
        <v>2024</v>
      </c>
      <c r="D56" s="1">
        <v>45444</v>
      </c>
      <c r="E56" s="2">
        <v>0.9375</v>
      </c>
      <c r="F56" t="s">
        <v>40</v>
      </c>
      <c r="G56" t="s">
        <v>31</v>
      </c>
      <c r="H56">
        <v>0</v>
      </c>
      <c r="I56">
        <v>1</v>
      </c>
      <c r="J56" t="s">
        <v>38</v>
      </c>
      <c r="K56">
        <v>387</v>
      </c>
      <c r="L56">
        <v>304</v>
      </c>
      <c r="M56">
        <v>224</v>
      </c>
      <c r="N56">
        <v>39</v>
      </c>
      <c r="O56">
        <v>314</v>
      </c>
      <c r="P56">
        <v>232</v>
      </c>
      <c r="Q56">
        <v>367</v>
      </c>
      <c r="R56">
        <v>297</v>
      </c>
      <c r="S56">
        <v>221</v>
      </c>
      <c r="T56" t="s">
        <v>30</v>
      </c>
      <c r="U56" t="s">
        <v>30</v>
      </c>
      <c r="V56" t="s">
        <v>30</v>
      </c>
      <c r="W56" t="s">
        <v>30</v>
      </c>
      <c r="X56" t="s">
        <v>30</v>
      </c>
      <c r="Y56" t="s">
        <v>30</v>
      </c>
    </row>
    <row r="57" spans="1:25" x14ac:dyDescent="0.25">
      <c r="A57" t="s">
        <v>25</v>
      </c>
      <c r="B57" t="s">
        <v>26</v>
      </c>
      <c r="C57">
        <v>2024</v>
      </c>
      <c r="D57" s="1">
        <v>45444</v>
      </c>
      <c r="E57" s="2">
        <v>0.9375</v>
      </c>
      <c r="F57" t="s">
        <v>34</v>
      </c>
      <c r="G57" t="s">
        <v>28</v>
      </c>
      <c r="H57">
        <v>1</v>
      </c>
      <c r="I57">
        <v>1</v>
      </c>
      <c r="J57" t="s">
        <v>29</v>
      </c>
      <c r="K57">
        <v>159</v>
      </c>
      <c r="L57">
        <v>411</v>
      </c>
      <c r="M57">
        <v>604</v>
      </c>
      <c r="N57">
        <v>16</v>
      </c>
      <c r="O57">
        <v>432</v>
      </c>
      <c r="P57">
        <v>62</v>
      </c>
      <c r="Q57">
        <v>156</v>
      </c>
      <c r="R57">
        <v>404</v>
      </c>
      <c r="S57">
        <v>58</v>
      </c>
      <c r="T57" t="s">
        <v>30</v>
      </c>
      <c r="U57" t="s">
        <v>30</v>
      </c>
      <c r="V57" t="s">
        <v>30</v>
      </c>
      <c r="W57" t="s">
        <v>30</v>
      </c>
      <c r="X57" t="s">
        <v>30</v>
      </c>
      <c r="Y57" t="s">
        <v>30</v>
      </c>
    </row>
    <row r="58" spans="1:25" x14ac:dyDescent="0.25">
      <c r="A58" t="s">
        <v>25</v>
      </c>
      <c r="B58" t="s">
        <v>26</v>
      </c>
      <c r="C58">
        <v>2024</v>
      </c>
      <c r="D58" s="1">
        <v>45445</v>
      </c>
      <c r="E58" s="2">
        <v>4.1666666666666664E-2</v>
      </c>
      <c r="F58" t="s">
        <v>43</v>
      </c>
      <c r="G58" t="s">
        <v>48</v>
      </c>
      <c r="H58">
        <v>0</v>
      </c>
      <c r="I58">
        <v>1</v>
      </c>
      <c r="J58" t="s">
        <v>38</v>
      </c>
      <c r="K58">
        <v>215</v>
      </c>
      <c r="L58">
        <v>333</v>
      </c>
      <c r="M58">
        <v>373</v>
      </c>
      <c r="N58">
        <v>222</v>
      </c>
      <c r="O58">
        <v>335</v>
      </c>
      <c r="P58">
        <v>385</v>
      </c>
      <c r="Q58">
        <v>214</v>
      </c>
      <c r="R58">
        <v>323</v>
      </c>
      <c r="S58">
        <v>351</v>
      </c>
      <c r="T58" t="s">
        <v>30</v>
      </c>
      <c r="U58" t="s">
        <v>30</v>
      </c>
      <c r="V58" t="s">
        <v>30</v>
      </c>
      <c r="W58" t="s">
        <v>30</v>
      </c>
      <c r="X58" t="s">
        <v>30</v>
      </c>
      <c r="Y58" t="s">
        <v>30</v>
      </c>
    </row>
    <row r="59" spans="1:25" x14ac:dyDescent="0.25">
      <c r="A59" t="s">
        <v>25</v>
      </c>
      <c r="B59" t="s">
        <v>26</v>
      </c>
      <c r="C59">
        <v>2024</v>
      </c>
      <c r="D59" s="1">
        <v>45445</v>
      </c>
      <c r="E59" s="2">
        <v>0.83333333333333326</v>
      </c>
      <c r="F59" t="s">
        <v>44</v>
      </c>
      <c r="G59" t="s">
        <v>32</v>
      </c>
      <c r="H59">
        <v>1</v>
      </c>
      <c r="I59">
        <v>1</v>
      </c>
      <c r="J59" t="s">
        <v>29</v>
      </c>
      <c r="K59">
        <v>181</v>
      </c>
      <c r="L59">
        <v>371</v>
      </c>
      <c r="M59">
        <v>47</v>
      </c>
      <c r="N59">
        <v>184</v>
      </c>
      <c r="O59">
        <v>38</v>
      </c>
      <c r="P59">
        <v>5</v>
      </c>
      <c r="Q59">
        <v>177</v>
      </c>
      <c r="R59">
        <v>363</v>
      </c>
      <c r="S59">
        <v>449</v>
      </c>
      <c r="T59" t="s">
        <v>30</v>
      </c>
      <c r="U59" t="s">
        <v>30</v>
      </c>
      <c r="V59" t="s">
        <v>30</v>
      </c>
      <c r="W59" t="s">
        <v>30</v>
      </c>
      <c r="X59" t="s">
        <v>30</v>
      </c>
      <c r="Y59" t="s">
        <v>30</v>
      </c>
    </row>
    <row r="60" spans="1:25" x14ac:dyDescent="0.25">
      <c r="A60" t="s">
        <v>25</v>
      </c>
      <c r="B60" t="s">
        <v>26</v>
      </c>
      <c r="C60">
        <v>2024</v>
      </c>
      <c r="D60" s="1">
        <v>45445</v>
      </c>
      <c r="E60" s="2">
        <v>0.83333333333333326</v>
      </c>
      <c r="F60" t="s">
        <v>27</v>
      </c>
      <c r="G60" t="s">
        <v>50</v>
      </c>
      <c r="H60">
        <v>1</v>
      </c>
      <c r="I60">
        <v>2</v>
      </c>
      <c r="J60" t="s">
        <v>38</v>
      </c>
      <c r="K60">
        <v>489</v>
      </c>
      <c r="L60">
        <v>338</v>
      </c>
      <c r="M60">
        <v>187</v>
      </c>
      <c r="N60">
        <v>498</v>
      </c>
      <c r="O60">
        <v>339</v>
      </c>
      <c r="P60">
        <v>195</v>
      </c>
      <c r="Q60">
        <v>461</v>
      </c>
      <c r="R60">
        <v>328</v>
      </c>
      <c r="S60">
        <v>186</v>
      </c>
      <c r="T60" t="s">
        <v>30</v>
      </c>
      <c r="U60" t="s">
        <v>30</v>
      </c>
      <c r="V60" t="s">
        <v>30</v>
      </c>
      <c r="W60" t="s">
        <v>30</v>
      </c>
      <c r="X60" t="s">
        <v>30</v>
      </c>
      <c r="Y60" t="s">
        <v>30</v>
      </c>
    </row>
    <row r="61" spans="1:25" x14ac:dyDescent="0.25">
      <c r="A61" t="s">
        <v>25</v>
      </c>
      <c r="B61" t="s">
        <v>26</v>
      </c>
      <c r="C61">
        <v>2024</v>
      </c>
      <c r="D61" s="1">
        <v>45445</v>
      </c>
      <c r="E61" s="2">
        <v>0.83333333333333326</v>
      </c>
      <c r="F61" t="s">
        <v>45</v>
      </c>
      <c r="G61" t="s">
        <v>42</v>
      </c>
      <c r="H61">
        <v>1</v>
      </c>
      <c r="I61">
        <v>6</v>
      </c>
      <c r="J61" t="s">
        <v>38</v>
      </c>
      <c r="K61">
        <v>512</v>
      </c>
      <c r="L61">
        <v>389</v>
      </c>
      <c r="M61">
        <v>171</v>
      </c>
      <c r="N61">
        <v>523</v>
      </c>
      <c r="O61">
        <v>397</v>
      </c>
      <c r="P61">
        <v>178</v>
      </c>
      <c r="Q61">
        <v>489</v>
      </c>
      <c r="R61">
        <v>375</v>
      </c>
      <c r="S61">
        <v>169</v>
      </c>
      <c r="T61" t="s">
        <v>30</v>
      </c>
      <c r="U61" t="s">
        <v>30</v>
      </c>
      <c r="V61" t="s">
        <v>30</v>
      </c>
      <c r="W61" t="s">
        <v>30</v>
      </c>
      <c r="X61" t="s">
        <v>30</v>
      </c>
      <c r="Y61" t="s">
        <v>30</v>
      </c>
    </row>
    <row r="62" spans="1:25" x14ac:dyDescent="0.25">
      <c r="A62" t="s">
        <v>25</v>
      </c>
      <c r="B62" t="s">
        <v>26</v>
      </c>
      <c r="C62">
        <v>2024</v>
      </c>
      <c r="D62" s="1">
        <v>45445</v>
      </c>
      <c r="E62" s="2">
        <v>0.9375</v>
      </c>
      <c r="F62" t="s">
        <v>37</v>
      </c>
      <c r="G62" t="s">
        <v>39</v>
      </c>
      <c r="H62">
        <v>1</v>
      </c>
      <c r="I62">
        <v>0</v>
      </c>
      <c r="J62" t="s">
        <v>33</v>
      </c>
      <c r="K62">
        <v>196</v>
      </c>
      <c r="L62">
        <v>337</v>
      </c>
      <c r="M62">
        <v>438</v>
      </c>
      <c r="N62">
        <v>204</v>
      </c>
      <c r="O62">
        <v>345</v>
      </c>
      <c r="P62">
        <v>44</v>
      </c>
      <c r="Q62">
        <v>193</v>
      </c>
      <c r="R62">
        <v>33</v>
      </c>
      <c r="S62">
        <v>417</v>
      </c>
      <c r="T62" t="s">
        <v>30</v>
      </c>
      <c r="U62" t="s">
        <v>30</v>
      </c>
      <c r="V62" t="s">
        <v>30</v>
      </c>
      <c r="W62" t="s">
        <v>30</v>
      </c>
      <c r="X62" t="s">
        <v>30</v>
      </c>
      <c r="Y62" t="s">
        <v>30</v>
      </c>
    </row>
    <row r="63" spans="1:25" x14ac:dyDescent="0.25">
      <c r="A63" t="s">
        <v>25</v>
      </c>
      <c r="B63" t="s">
        <v>26</v>
      </c>
      <c r="C63">
        <v>2024</v>
      </c>
      <c r="D63" s="1">
        <v>45445</v>
      </c>
      <c r="E63" s="2">
        <v>0.9375</v>
      </c>
      <c r="F63" t="s">
        <v>36</v>
      </c>
      <c r="G63" t="s">
        <v>47</v>
      </c>
      <c r="H63">
        <v>2</v>
      </c>
      <c r="I63">
        <v>0</v>
      </c>
      <c r="J63" t="s">
        <v>33</v>
      </c>
      <c r="K63">
        <v>197</v>
      </c>
      <c r="L63">
        <v>327</v>
      </c>
      <c r="M63">
        <v>452</v>
      </c>
      <c r="N63">
        <v>198</v>
      </c>
      <c r="O63">
        <v>336</v>
      </c>
      <c r="P63">
        <v>485</v>
      </c>
      <c r="Q63">
        <v>194</v>
      </c>
      <c r="R63">
        <v>317</v>
      </c>
      <c r="S63">
        <v>434</v>
      </c>
      <c r="T63" t="s">
        <v>30</v>
      </c>
      <c r="U63" t="s">
        <v>30</v>
      </c>
      <c r="V63" t="s">
        <v>30</v>
      </c>
      <c r="W63" t="s">
        <v>30</v>
      </c>
      <c r="X63" t="s">
        <v>30</v>
      </c>
      <c r="Y63" t="s">
        <v>30</v>
      </c>
    </row>
    <row r="64" spans="1:25" x14ac:dyDescent="0.25">
      <c r="A64" t="s">
        <v>25</v>
      </c>
      <c r="B64" t="s">
        <v>26</v>
      </c>
      <c r="C64">
        <v>2024</v>
      </c>
      <c r="D64" s="1">
        <v>45448</v>
      </c>
      <c r="E64" s="2">
        <v>0.95833333333333326</v>
      </c>
      <c r="F64" t="s">
        <v>28</v>
      </c>
      <c r="G64" t="s">
        <v>41</v>
      </c>
      <c r="H64">
        <v>1</v>
      </c>
      <c r="I64">
        <v>0</v>
      </c>
      <c r="J64" t="s">
        <v>33</v>
      </c>
      <c r="K64">
        <v>241</v>
      </c>
      <c r="L64">
        <v>296</v>
      </c>
      <c r="M64">
        <v>357</v>
      </c>
      <c r="N64">
        <v>247</v>
      </c>
      <c r="O64">
        <v>308</v>
      </c>
      <c r="P64">
        <v>357</v>
      </c>
      <c r="Q64">
        <v>237</v>
      </c>
      <c r="R64">
        <v>293</v>
      </c>
      <c r="S64">
        <v>336</v>
      </c>
      <c r="T64" t="s">
        <v>30</v>
      </c>
      <c r="U64" t="s">
        <v>30</v>
      </c>
      <c r="V64" t="s">
        <v>30</v>
      </c>
      <c r="W64" t="s">
        <v>30</v>
      </c>
      <c r="X64" t="s">
        <v>30</v>
      </c>
      <c r="Y64" t="s">
        <v>30</v>
      </c>
    </row>
    <row r="65" spans="1:25" x14ac:dyDescent="0.25">
      <c r="A65" t="s">
        <v>25</v>
      </c>
      <c r="B65" t="s">
        <v>26</v>
      </c>
      <c r="C65">
        <v>2024</v>
      </c>
      <c r="D65" s="1">
        <v>45449</v>
      </c>
      <c r="E65" s="2">
        <v>0</v>
      </c>
      <c r="F65" t="s">
        <v>40</v>
      </c>
      <c r="G65" t="s">
        <v>49</v>
      </c>
      <c r="H65">
        <v>0</v>
      </c>
      <c r="I65">
        <v>0</v>
      </c>
      <c r="J65" t="s">
        <v>29</v>
      </c>
      <c r="K65">
        <v>223</v>
      </c>
      <c r="L65">
        <v>298</v>
      </c>
      <c r="M65">
        <v>401</v>
      </c>
      <c r="N65">
        <v>225</v>
      </c>
      <c r="O65">
        <v>305</v>
      </c>
      <c r="P65">
        <v>401</v>
      </c>
      <c r="Q65">
        <v>218</v>
      </c>
      <c r="R65">
        <v>295</v>
      </c>
      <c r="S65">
        <v>38</v>
      </c>
      <c r="T65" t="s">
        <v>30</v>
      </c>
      <c r="U65" t="s">
        <v>30</v>
      </c>
      <c r="V65" t="s">
        <v>30</v>
      </c>
      <c r="W65" t="s">
        <v>30</v>
      </c>
      <c r="X65" t="s">
        <v>30</v>
      </c>
      <c r="Y65" t="s">
        <v>30</v>
      </c>
    </row>
    <row r="66" spans="1:25" x14ac:dyDescent="0.25">
      <c r="A66" t="s">
        <v>25</v>
      </c>
      <c r="B66" t="s">
        <v>26</v>
      </c>
      <c r="C66">
        <v>2024</v>
      </c>
      <c r="D66" s="1">
        <v>45452</v>
      </c>
      <c r="E66" s="2">
        <v>0.83333333333333326</v>
      </c>
      <c r="F66" t="s">
        <v>27</v>
      </c>
      <c r="G66" t="s">
        <v>40</v>
      </c>
      <c r="H66">
        <v>2</v>
      </c>
      <c r="I66">
        <v>5</v>
      </c>
      <c r="J66" t="s">
        <v>38</v>
      </c>
      <c r="K66">
        <v>215</v>
      </c>
      <c r="L66">
        <v>313</v>
      </c>
      <c r="M66">
        <v>387</v>
      </c>
      <c r="N66">
        <v>22</v>
      </c>
      <c r="O66">
        <v>326</v>
      </c>
      <c r="P66">
        <v>4</v>
      </c>
      <c r="Q66">
        <v>213</v>
      </c>
      <c r="R66">
        <v>306</v>
      </c>
      <c r="S66">
        <v>376</v>
      </c>
      <c r="T66" t="s">
        <v>30</v>
      </c>
      <c r="U66" t="s">
        <v>30</v>
      </c>
      <c r="V66" t="s">
        <v>30</v>
      </c>
      <c r="W66" t="s">
        <v>30</v>
      </c>
      <c r="X66" t="s">
        <v>30</v>
      </c>
      <c r="Y66" t="s">
        <v>30</v>
      </c>
    </row>
    <row r="67" spans="1:25" x14ac:dyDescent="0.25">
      <c r="A67" t="s">
        <v>25</v>
      </c>
      <c r="B67" t="s">
        <v>26</v>
      </c>
      <c r="C67">
        <v>2024</v>
      </c>
      <c r="D67" s="1">
        <v>45454</v>
      </c>
      <c r="E67" s="2">
        <v>0.95833333333333326</v>
      </c>
      <c r="F67" t="s">
        <v>41</v>
      </c>
      <c r="G67" t="s">
        <v>43</v>
      </c>
      <c r="H67">
        <v>2</v>
      </c>
      <c r="I67">
        <v>2</v>
      </c>
      <c r="J67" t="s">
        <v>29</v>
      </c>
      <c r="K67">
        <v>26</v>
      </c>
      <c r="L67">
        <v>306</v>
      </c>
      <c r="M67">
        <v>304</v>
      </c>
      <c r="N67">
        <v>27</v>
      </c>
      <c r="O67">
        <v>323</v>
      </c>
      <c r="P67">
        <v>306</v>
      </c>
      <c r="Q67">
        <v>259</v>
      </c>
      <c r="R67">
        <v>302</v>
      </c>
      <c r="S67">
        <v>291</v>
      </c>
      <c r="T67" t="s">
        <v>30</v>
      </c>
      <c r="U67" t="s">
        <v>30</v>
      </c>
      <c r="V67" t="s">
        <v>30</v>
      </c>
      <c r="W67" t="s">
        <v>30</v>
      </c>
      <c r="X67" t="s">
        <v>30</v>
      </c>
      <c r="Y67" t="s">
        <v>30</v>
      </c>
    </row>
    <row r="68" spans="1:25" x14ac:dyDescent="0.25">
      <c r="A68" t="s">
        <v>25</v>
      </c>
      <c r="B68" t="s">
        <v>26</v>
      </c>
      <c r="C68">
        <v>2024</v>
      </c>
      <c r="D68" s="1">
        <v>45454</v>
      </c>
      <c r="E68" s="2">
        <v>0.95833333333333326</v>
      </c>
      <c r="F68" t="s">
        <v>28</v>
      </c>
      <c r="G68" t="s">
        <v>49</v>
      </c>
      <c r="H68">
        <v>1</v>
      </c>
      <c r="I68">
        <v>1</v>
      </c>
      <c r="J68" t="s">
        <v>29</v>
      </c>
      <c r="K68">
        <v>201</v>
      </c>
      <c r="L68">
        <v>315</v>
      </c>
      <c r="M68">
        <v>439</v>
      </c>
      <c r="N68">
        <v>204</v>
      </c>
      <c r="O68">
        <v>325</v>
      </c>
      <c r="P68">
        <v>462</v>
      </c>
      <c r="Q68">
        <v>197</v>
      </c>
      <c r="R68">
        <v>314</v>
      </c>
      <c r="S68">
        <v>425</v>
      </c>
      <c r="T68" t="s">
        <v>30</v>
      </c>
      <c r="U68" t="s">
        <v>30</v>
      </c>
      <c r="V68" t="s">
        <v>30</v>
      </c>
      <c r="W68" t="s">
        <v>30</v>
      </c>
      <c r="X68" t="s">
        <v>30</v>
      </c>
      <c r="Y68" t="s">
        <v>30</v>
      </c>
    </row>
    <row r="69" spans="1:25" x14ac:dyDescent="0.25">
      <c r="A69" t="s">
        <v>25</v>
      </c>
      <c r="B69" t="s">
        <v>26</v>
      </c>
      <c r="C69">
        <v>2024</v>
      </c>
      <c r="D69" s="1">
        <v>45455</v>
      </c>
      <c r="E69" s="2">
        <v>0</v>
      </c>
      <c r="F69" t="s">
        <v>48</v>
      </c>
      <c r="G69" t="s">
        <v>34</v>
      </c>
      <c r="H69">
        <v>1</v>
      </c>
      <c r="I69">
        <v>0</v>
      </c>
      <c r="J69" t="s">
        <v>33</v>
      </c>
      <c r="K69">
        <v>2</v>
      </c>
      <c r="L69">
        <v>326</v>
      </c>
      <c r="M69">
        <v>425</v>
      </c>
      <c r="N69">
        <v>205</v>
      </c>
      <c r="O69">
        <v>34</v>
      </c>
      <c r="P69">
        <v>433</v>
      </c>
      <c r="Q69">
        <v>196</v>
      </c>
      <c r="R69">
        <v>329</v>
      </c>
      <c r="S69">
        <v>406</v>
      </c>
      <c r="T69" t="s">
        <v>30</v>
      </c>
      <c r="U69" t="s">
        <v>30</v>
      </c>
      <c r="V69" t="s">
        <v>30</v>
      </c>
      <c r="W69" t="s">
        <v>30</v>
      </c>
      <c r="X69" t="s">
        <v>30</v>
      </c>
      <c r="Y69" t="s">
        <v>30</v>
      </c>
    </row>
    <row r="70" spans="1:25" x14ac:dyDescent="0.25">
      <c r="A70" t="s">
        <v>25</v>
      </c>
      <c r="B70" t="s">
        <v>26</v>
      </c>
      <c r="C70">
        <v>2024</v>
      </c>
      <c r="D70" s="1">
        <v>45455</v>
      </c>
      <c r="E70" s="2">
        <v>6.25E-2</v>
      </c>
      <c r="F70" t="s">
        <v>35</v>
      </c>
      <c r="G70" t="s">
        <v>44</v>
      </c>
      <c r="H70">
        <v>1</v>
      </c>
      <c r="I70">
        <v>2</v>
      </c>
      <c r="J70" t="s">
        <v>38</v>
      </c>
      <c r="K70">
        <v>23</v>
      </c>
      <c r="L70">
        <v>317</v>
      </c>
      <c r="M70">
        <v>343</v>
      </c>
      <c r="N70">
        <v>236</v>
      </c>
      <c r="O70">
        <v>326</v>
      </c>
      <c r="P70">
        <v>347</v>
      </c>
      <c r="Q70">
        <v>229</v>
      </c>
      <c r="R70">
        <v>312</v>
      </c>
      <c r="S70">
        <v>327</v>
      </c>
      <c r="T70" t="s">
        <v>30</v>
      </c>
      <c r="U70" t="s">
        <v>30</v>
      </c>
      <c r="V70" t="s">
        <v>30</v>
      </c>
      <c r="W70" t="s">
        <v>30</v>
      </c>
      <c r="X70" t="s">
        <v>30</v>
      </c>
      <c r="Y70" t="s">
        <v>30</v>
      </c>
    </row>
    <row r="71" spans="1:25" x14ac:dyDescent="0.25">
      <c r="A71" t="s">
        <v>25</v>
      </c>
      <c r="B71" t="s">
        <v>26</v>
      </c>
      <c r="C71">
        <v>2024</v>
      </c>
      <c r="D71" s="1">
        <v>45456</v>
      </c>
      <c r="E71" s="2">
        <v>0.95833333333333326</v>
      </c>
      <c r="F71" t="s">
        <v>47</v>
      </c>
      <c r="G71" t="s">
        <v>40</v>
      </c>
      <c r="H71">
        <v>2</v>
      </c>
      <c r="I71">
        <v>1</v>
      </c>
      <c r="J71" t="s">
        <v>33</v>
      </c>
      <c r="K71">
        <v>16</v>
      </c>
      <c r="L71">
        <v>375</v>
      </c>
      <c r="M71">
        <v>678</v>
      </c>
      <c r="N71">
        <v>162</v>
      </c>
      <c r="O71">
        <v>39</v>
      </c>
      <c r="P71">
        <v>7</v>
      </c>
      <c r="Q71">
        <v>158</v>
      </c>
      <c r="R71">
        <v>365</v>
      </c>
      <c r="S71">
        <v>656</v>
      </c>
      <c r="T71" t="s">
        <v>30</v>
      </c>
      <c r="U71" t="s">
        <v>30</v>
      </c>
      <c r="V71" t="s">
        <v>30</v>
      </c>
      <c r="W71" t="s">
        <v>30</v>
      </c>
      <c r="X71" t="s">
        <v>30</v>
      </c>
      <c r="Y71" t="s">
        <v>30</v>
      </c>
    </row>
    <row r="72" spans="1:25" x14ac:dyDescent="0.25">
      <c r="A72" t="s">
        <v>25</v>
      </c>
      <c r="B72" t="s">
        <v>26</v>
      </c>
      <c r="C72">
        <v>2024</v>
      </c>
      <c r="D72" s="1">
        <v>45457</v>
      </c>
      <c r="E72" s="2">
        <v>0</v>
      </c>
      <c r="F72" t="s">
        <v>39</v>
      </c>
      <c r="G72" t="s">
        <v>27</v>
      </c>
      <c r="H72">
        <v>3</v>
      </c>
      <c r="I72">
        <v>1</v>
      </c>
      <c r="J72" t="s">
        <v>33</v>
      </c>
      <c r="K72">
        <v>15</v>
      </c>
      <c r="L72">
        <v>437</v>
      </c>
      <c r="M72">
        <v>709</v>
      </c>
      <c r="N72">
        <v>151</v>
      </c>
      <c r="O72">
        <v>44</v>
      </c>
      <c r="P72">
        <v>75</v>
      </c>
      <c r="Q72">
        <v>147</v>
      </c>
      <c r="R72">
        <v>423</v>
      </c>
      <c r="S72">
        <v>685</v>
      </c>
      <c r="T72" t="s">
        <v>30</v>
      </c>
      <c r="U72" t="s">
        <v>30</v>
      </c>
      <c r="V72" t="s">
        <v>30</v>
      </c>
      <c r="W72" t="s">
        <v>30</v>
      </c>
      <c r="X72" t="s">
        <v>30</v>
      </c>
      <c r="Y72" t="s">
        <v>30</v>
      </c>
    </row>
    <row r="73" spans="1:25" x14ac:dyDescent="0.25">
      <c r="A73" t="s">
        <v>25</v>
      </c>
      <c r="B73" t="s">
        <v>26</v>
      </c>
      <c r="C73">
        <v>2024</v>
      </c>
      <c r="D73" s="1">
        <v>45457</v>
      </c>
      <c r="E73" s="2">
        <v>0</v>
      </c>
      <c r="F73" t="s">
        <v>42</v>
      </c>
      <c r="G73" t="s">
        <v>46</v>
      </c>
      <c r="H73">
        <v>2</v>
      </c>
      <c r="I73">
        <v>1</v>
      </c>
      <c r="J73" t="s">
        <v>33</v>
      </c>
      <c r="K73">
        <v>157</v>
      </c>
      <c r="L73">
        <v>401</v>
      </c>
      <c r="M73">
        <v>656</v>
      </c>
      <c r="N73">
        <v>16</v>
      </c>
      <c r="O73">
        <v>41</v>
      </c>
      <c r="P73">
        <v>656</v>
      </c>
      <c r="Q73">
        <v>156</v>
      </c>
      <c r="R73">
        <v>393</v>
      </c>
      <c r="S73">
        <v>611</v>
      </c>
      <c r="T73" t="s">
        <v>30</v>
      </c>
      <c r="U73" t="s">
        <v>30</v>
      </c>
      <c r="V73" t="s">
        <v>30</v>
      </c>
      <c r="W73" t="s">
        <v>30</v>
      </c>
      <c r="X73" t="s">
        <v>30</v>
      </c>
      <c r="Y73" t="s">
        <v>30</v>
      </c>
    </row>
    <row r="74" spans="1:25" x14ac:dyDescent="0.25">
      <c r="A74" t="s">
        <v>25</v>
      </c>
      <c r="B74" t="s">
        <v>26</v>
      </c>
      <c r="C74">
        <v>2024</v>
      </c>
      <c r="D74" s="1">
        <v>45457</v>
      </c>
      <c r="E74" s="2">
        <v>0</v>
      </c>
      <c r="F74" t="s">
        <v>31</v>
      </c>
      <c r="G74" t="s">
        <v>36</v>
      </c>
      <c r="H74">
        <v>0</v>
      </c>
      <c r="I74">
        <v>0</v>
      </c>
      <c r="J74" t="s">
        <v>29</v>
      </c>
      <c r="K74">
        <v>24</v>
      </c>
      <c r="L74">
        <v>309</v>
      </c>
      <c r="M74">
        <v>342</v>
      </c>
      <c r="N74">
        <v>26</v>
      </c>
      <c r="O74">
        <v>31</v>
      </c>
      <c r="P74">
        <v>342</v>
      </c>
      <c r="Q74">
        <v>238</v>
      </c>
      <c r="R74">
        <v>299</v>
      </c>
      <c r="S74">
        <v>328</v>
      </c>
      <c r="T74" t="s">
        <v>30</v>
      </c>
      <c r="U74" t="s">
        <v>30</v>
      </c>
      <c r="V74" t="s">
        <v>30</v>
      </c>
      <c r="W74" t="s">
        <v>30</v>
      </c>
      <c r="X74" t="s">
        <v>30</v>
      </c>
      <c r="Y74" t="s">
        <v>30</v>
      </c>
    </row>
    <row r="75" spans="1:25" x14ac:dyDescent="0.25">
      <c r="A75" t="s">
        <v>25</v>
      </c>
      <c r="B75" t="s">
        <v>26</v>
      </c>
      <c r="C75">
        <v>2024</v>
      </c>
      <c r="D75" s="1">
        <v>45457</v>
      </c>
      <c r="E75" s="2">
        <v>6.25E-2</v>
      </c>
      <c r="F75" t="s">
        <v>32</v>
      </c>
      <c r="G75" t="s">
        <v>37</v>
      </c>
      <c r="H75">
        <v>1</v>
      </c>
      <c r="I75">
        <v>0</v>
      </c>
      <c r="J75" t="s">
        <v>33</v>
      </c>
      <c r="K75">
        <v>192</v>
      </c>
      <c r="L75">
        <v>369</v>
      </c>
      <c r="M75">
        <v>412</v>
      </c>
      <c r="N75">
        <v>205</v>
      </c>
      <c r="O75">
        <v>376</v>
      </c>
      <c r="P75">
        <v>45</v>
      </c>
      <c r="Q75">
        <v>185</v>
      </c>
      <c r="R75">
        <v>358</v>
      </c>
      <c r="S75">
        <v>417</v>
      </c>
      <c r="T75" t="s">
        <v>30</v>
      </c>
      <c r="U75" t="s">
        <v>30</v>
      </c>
      <c r="V75" t="s">
        <v>30</v>
      </c>
      <c r="W75" t="s">
        <v>30</v>
      </c>
      <c r="X75" t="s">
        <v>30</v>
      </c>
      <c r="Y75" t="s">
        <v>30</v>
      </c>
    </row>
    <row r="76" spans="1:25" x14ac:dyDescent="0.25">
      <c r="A76" t="s">
        <v>25</v>
      </c>
      <c r="B76" t="s">
        <v>26</v>
      </c>
      <c r="C76">
        <v>2024</v>
      </c>
      <c r="D76" s="1">
        <v>45457</v>
      </c>
      <c r="E76" s="2">
        <v>6.25E-2</v>
      </c>
      <c r="F76" t="s">
        <v>50</v>
      </c>
      <c r="G76" t="s">
        <v>45</v>
      </c>
      <c r="H76">
        <v>2</v>
      </c>
      <c r="I76">
        <v>0</v>
      </c>
      <c r="J76" t="s">
        <v>33</v>
      </c>
      <c r="K76">
        <v>147</v>
      </c>
      <c r="L76">
        <v>436</v>
      </c>
      <c r="M76">
        <v>778</v>
      </c>
      <c r="N76">
        <v>147</v>
      </c>
      <c r="O76">
        <v>45</v>
      </c>
      <c r="P76">
        <v>8</v>
      </c>
      <c r="Q76">
        <v>144</v>
      </c>
      <c r="R76">
        <v>429</v>
      </c>
      <c r="S76">
        <v>739</v>
      </c>
      <c r="T76" t="s">
        <v>30</v>
      </c>
      <c r="U76" t="s">
        <v>30</v>
      </c>
      <c r="V76" t="s">
        <v>30</v>
      </c>
      <c r="W76" t="s">
        <v>30</v>
      </c>
      <c r="X76" t="s">
        <v>30</v>
      </c>
      <c r="Y76" t="s">
        <v>30</v>
      </c>
    </row>
    <row r="77" spans="1:25" x14ac:dyDescent="0.25">
      <c r="A77" t="s">
        <v>25</v>
      </c>
      <c r="B77" t="s">
        <v>26</v>
      </c>
      <c r="C77">
        <v>2024</v>
      </c>
      <c r="D77" s="1">
        <v>45458</v>
      </c>
      <c r="E77" s="2">
        <v>0.9375</v>
      </c>
      <c r="F77" t="s">
        <v>35</v>
      </c>
      <c r="G77" t="s">
        <v>28</v>
      </c>
      <c r="H77">
        <v>2</v>
      </c>
      <c r="I77">
        <v>1</v>
      </c>
      <c r="J77" t="s">
        <v>33</v>
      </c>
      <c r="K77">
        <v>162</v>
      </c>
      <c r="L77">
        <v>384</v>
      </c>
      <c r="M77">
        <v>639</v>
      </c>
      <c r="N77">
        <v>165</v>
      </c>
      <c r="O77">
        <v>4</v>
      </c>
      <c r="P77">
        <v>639</v>
      </c>
      <c r="Q77">
        <v>159</v>
      </c>
      <c r="R77">
        <v>383</v>
      </c>
      <c r="S77">
        <v>587</v>
      </c>
      <c r="T77" t="s">
        <v>30</v>
      </c>
      <c r="U77" t="s">
        <v>30</v>
      </c>
      <c r="V77" t="s">
        <v>30</v>
      </c>
      <c r="W77" t="s">
        <v>30</v>
      </c>
      <c r="X77" t="s">
        <v>30</v>
      </c>
      <c r="Y77" t="s">
        <v>30</v>
      </c>
    </row>
    <row r="78" spans="1:25" x14ac:dyDescent="0.25">
      <c r="A78" t="s">
        <v>25</v>
      </c>
      <c r="B78" t="s">
        <v>26</v>
      </c>
      <c r="C78">
        <v>2024</v>
      </c>
      <c r="D78" s="1">
        <v>45459</v>
      </c>
      <c r="E78" s="2">
        <v>4.1666666666666664E-2</v>
      </c>
      <c r="F78" t="s">
        <v>34</v>
      </c>
      <c r="G78" t="s">
        <v>41</v>
      </c>
      <c r="H78">
        <v>1</v>
      </c>
      <c r="I78">
        <v>2</v>
      </c>
      <c r="J78" t="s">
        <v>38</v>
      </c>
      <c r="K78">
        <v>188</v>
      </c>
      <c r="L78">
        <v>341</v>
      </c>
      <c r="M78">
        <v>478</v>
      </c>
      <c r="N78">
        <v>196</v>
      </c>
      <c r="O78">
        <v>367</v>
      </c>
      <c r="P78">
        <v>478</v>
      </c>
      <c r="Q78">
        <v>187</v>
      </c>
      <c r="R78">
        <v>341</v>
      </c>
      <c r="S78">
        <v>431</v>
      </c>
      <c r="T78" t="s">
        <v>30</v>
      </c>
      <c r="U78" t="s">
        <v>30</v>
      </c>
      <c r="V78" t="s">
        <v>30</v>
      </c>
      <c r="W78" t="s">
        <v>30</v>
      </c>
      <c r="X78" t="s">
        <v>30</v>
      </c>
      <c r="Y78" t="s">
        <v>30</v>
      </c>
    </row>
    <row r="79" spans="1:25" x14ac:dyDescent="0.25">
      <c r="A79" t="s">
        <v>25</v>
      </c>
      <c r="B79" t="s">
        <v>26</v>
      </c>
      <c r="C79">
        <v>2024</v>
      </c>
      <c r="D79" s="1">
        <v>45459</v>
      </c>
      <c r="E79" s="2">
        <v>0.83333333333333326</v>
      </c>
      <c r="F79" t="s">
        <v>39</v>
      </c>
      <c r="G79" t="s">
        <v>42</v>
      </c>
      <c r="H79">
        <v>1</v>
      </c>
      <c r="I79">
        <v>1</v>
      </c>
      <c r="J79" t="s">
        <v>29</v>
      </c>
      <c r="K79">
        <v>261</v>
      </c>
      <c r="L79">
        <v>316</v>
      </c>
      <c r="M79">
        <v>3</v>
      </c>
      <c r="N79">
        <v>273</v>
      </c>
      <c r="O79">
        <v>32</v>
      </c>
      <c r="P79">
        <v>305</v>
      </c>
      <c r="Q79">
        <v>258</v>
      </c>
      <c r="R79">
        <v>311</v>
      </c>
      <c r="S79">
        <v>284</v>
      </c>
      <c r="T79" t="s">
        <v>30</v>
      </c>
      <c r="U79" t="s">
        <v>30</v>
      </c>
      <c r="V79" t="s">
        <v>30</v>
      </c>
      <c r="W79" t="s">
        <v>30</v>
      </c>
      <c r="X79" t="s">
        <v>30</v>
      </c>
      <c r="Y79" t="s">
        <v>30</v>
      </c>
    </row>
    <row r="80" spans="1:25" x14ac:dyDescent="0.25">
      <c r="A80" t="s">
        <v>25</v>
      </c>
      <c r="B80" t="s">
        <v>26</v>
      </c>
      <c r="C80">
        <v>2024</v>
      </c>
      <c r="D80" s="1">
        <v>45459</v>
      </c>
      <c r="E80" s="2">
        <v>0.83333333333333326</v>
      </c>
      <c r="F80" t="s">
        <v>43</v>
      </c>
      <c r="G80" t="s">
        <v>36</v>
      </c>
      <c r="H80">
        <v>2</v>
      </c>
      <c r="I80">
        <v>2</v>
      </c>
      <c r="J80" t="s">
        <v>29</v>
      </c>
      <c r="K80">
        <v>351</v>
      </c>
      <c r="L80">
        <v>307</v>
      </c>
      <c r="M80">
        <v>237</v>
      </c>
      <c r="N80">
        <v>351</v>
      </c>
      <c r="O80">
        <v>314</v>
      </c>
      <c r="P80">
        <v>24</v>
      </c>
      <c r="Q80">
        <v>334</v>
      </c>
      <c r="R80">
        <v>302</v>
      </c>
      <c r="S80">
        <v>234</v>
      </c>
      <c r="T80" t="s">
        <v>30</v>
      </c>
      <c r="U80" t="s">
        <v>30</v>
      </c>
      <c r="V80" t="s">
        <v>30</v>
      </c>
      <c r="W80" t="s">
        <v>30</v>
      </c>
      <c r="X80" t="s">
        <v>30</v>
      </c>
      <c r="Y80" t="s">
        <v>30</v>
      </c>
    </row>
    <row r="81" spans="1:25" x14ac:dyDescent="0.25">
      <c r="A81" t="s">
        <v>25</v>
      </c>
      <c r="B81" t="s">
        <v>26</v>
      </c>
      <c r="C81">
        <v>2024</v>
      </c>
      <c r="D81" s="1">
        <v>45459</v>
      </c>
      <c r="E81" s="2">
        <v>0.83333333333333326</v>
      </c>
      <c r="F81" t="s">
        <v>49</v>
      </c>
      <c r="G81" t="s">
        <v>31</v>
      </c>
      <c r="H81">
        <v>2</v>
      </c>
      <c r="I81">
        <v>1</v>
      </c>
      <c r="J81" t="s">
        <v>33</v>
      </c>
      <c r="K81">
        <v>276</v>
      </c>
      <c r="L81">
        <v>289</v>
      </c>
      <c r="M81">
        <v>309</v>
      </c>
      <c r="N81">
        <v>282</v>
      </c>
      <c r="O81">
        <v>292</v>
      </c>
      <c r="P81">
        <v>31</v>
      </c>
      <c r="Q81">
        <v>27</v>
      </c>
      <c r="R81">
        <v>284</v>
      </c>
      <c r="S81">
        <v>296</v>
      </c>
      <c r="T81" t="s">
        <v>30</v>
      </c>
      <c r="U81" t="s">
        <v>30</v>
      </c>
      <c r="V81" t="s">
        <v>30</v>
      </c>
      <c r="W81" t="s">
        <v>30</v>
      </c>
      <c r="X81" t="s">
        <v>30</v>
      </c>
      <c r="Y81" t="s">
        <v>30</v>
      </c>
    </row>
    <row r="82" spans="1:25" x14ac:dyDescent="0.25">
      <c r="A82" t="s">
        <v>25</v>
      </c>
      <c r="B82" t="s">
        <v>26</v>
      </c>
      <c r="C82">
        <v>2024</v>
      </c>
      <c r="D82" s="1">
        <v>45459</v>
      </c>
      <c r="E82" s="2">
        <v>0.9375</v>
      </c>
      <c r="F82" t="s">
        <v>27</v>
      </c>
      <c r="G82" t="s">
        <v>32</v>
      </c>
      <c r="H82">
        <v>2</v>
      </c>
      <c r="I82">
        <v>2</v>
      </c>
      <c r="J82" t="s">
        <v>29</v>
      </c>
      <c r="K82">
        <v>363</v>
      </c>
      <c r="L82">
        <v>321</v>
      </c>
      <c r="M82">
        <v>224</v>
      </c>
      <c r="N82">
        <v>37</v>
      </c>
      <c r="O82">
        <v>325</v>
      </c>
      <c r="P82">
        <v>225</v>
      </c>
      <c r="Q82">
        <v>349</v>
      </c>
      <c r="R82">
        <v>318</v>
      </c>
      <c r="S82">
        <v>218</v>
      </c>
      <c r="T82" t="s">
        <v>30</v>
      </c>
      <c r="U82" t="s">
        <v>30</v>
      </c>
      <c r="V82" t="s">
        <v>30</v>
      </c>
      <c r="W82" t="s">
        <v>30</v>
      </c>
      <c r="X82" t="s">
        <v>30</v>
      </c>
      <c r="Y82" t="s">
        <v>30</v>
      </c>
    </row>
    <row r="83" spans="1:25" x14ac:dyDescent="0.25">
      <c r="A83" t="s">
        <v>25</v>
      </c>
      <c r="B83" t="s">
        <v>26</v>
      </c>
      <c r="C83">
        <v>2024</v>
      </c>
      <c r="D83" s="1">
        <v>45459</v>
      </c>
      <c r="E83" s="2">
        <v>0.9375</v>
      </c>
      <c r="F83" t="s">
        <v>40</v>
      </c>
      <c r="G83" t="s">
        <v>37</v>
      </c>
      <c r="H83">
        <v>5</v>
      </c>
      <c r="I83">
        <v>0</v>
      </c>
      <c r="J83" t="s">
        <v>33</v>
      </c>
      <c r="K83">
        <v>324</v>
      </c>
      <c r="L83">
        <v>297</v>
      </c>
      <c r="M83">
        <v>258</v>
      </c>
      <c r="N83">
        <v>348</v>
      </c>
      <c r="O83">
        <v>297</v>
      </c>
      <c r="P83">
        <v>267</v>
      </c>
      <c r="Q83">
        <v>318</v>
      </c>
      <c r="R83">
        <v>287</v>
      </c>
      <c r="S83">
        <v>253</v>
      </c>
      <c r="T83" t="s">
        <v>30</v>
      </c>
      <c r="U83" t="s">
        <v>30</v>
      </c>
      <c r="V83" t="s">
        <v>30</v>
      </c>
      <c r="W83" t="s">
        <v>30</v>
      </c>
      <c r="X83" t="s">
        <v>30</v>
      </c>
      <c r="Y83" t="s">
        <v>30</v>
      </c>
    </row>
    <row r="84" spans="1:25" x14ac:dyDescent="0.25">
      <c r="A84" t="s">
        <v>25</v>
      </c>
      <c r="B84" t="s">
        <v>26</v>
      </c>
      <c r="C84">
        <v>2024</v>
      </c>
      <c r="D84" s="1">
        <v>45459</v>
      </c>
      <c r="E84" s="2">
        <v>0.9375</v>
      </c>
      <c r="F84" t="s">
        <v>46</v>
      </c>
      <c r="G84" t="s">
        <v>48</v>
      </c>
      <c r="H84">
        <v>1</v>
      </c>
      <c r="I84">
        <v>2</v>
      </c>
      <c r="J84" t="s">
        <v>38</v>
      </c>
      <c r="K84">
        <v>359</v>
      </c>
      <c r="L84">
        <v>324</v>
      </c>
      <c r="M84">
        <v>224</v>
      </c>
      <c r="N84">
        <v>372</v>
      </c>
      <c r="O84">
        <v>329</v>
      </c>
      <c r="P84">
        <v>227</v>
      </c>
      <c r="Q84">
        <v>348</v>
      </c>
      <c r="R84">
        <v>315</v>
      </c>
      <c r="S84">
        <v>219</v>
      </c>
      <c r="T84" t="s">
        <v>30</v>
      </c>
      <c r="U84" t="s">
        <v>30</v>
      </c>
      <c r="V84" t="s">
        <v>30</v>
      </c>
      <c r="W84" t="s">
        <v>30</v>
      </c>
      <c r="X84" t="s">
        <v>30</v>
      </c>
      <c r="Y84" t="s">
        <v>30</v>
      </c>
    </row>
    <row r="85" spans="1:25" x14ac:dyDescent="0.25">
      <c r="A85" t="s">
        <v>25</v>
      </c>
      <c r="B85" t="s">
        <v>26</v>
      </c>
      <c r="C85">
        <v>2024</v>
      </c>
      <c r="D85" s="1">
        <v>45459</v>
      </c>
      <c r="E85" s="2">
        <v>0.9375</v>
      </c>
      <c r="F85" t="s">
        <v>45</v>
      </c>
      <c r="G85" t="s">
        <v>47</v>
      </c>
      <c r="H85">
        <v>0</v>
      </c>
      <c r="I85">
        <v>0</v>
      </c>
      <c r="J85" t="s">
        <v>29</v>
      </c>
      <c r="K85">
        <v>289</v>
      </c>
      <c r="L85">
        <v>313</v>
      </c>
      <c r="M85">
        <v>272</v>
      </c>
      <c r="N85">
        <v>29</v>
      </c>
      <c r="O85">
        <v>323</v>
      </c>
      <c r="P85">
        <v>28</v>
      </c>
      <c r="Q85">
        <v>278</v>
      </c>
      <c r="R85">
        <v>307</v>
      </c>
      <c r="S85">
        <v>267</v>
      </c>
      <c r="T85" t="s">
        <v>30</v>
      </c>
      <c r="U85" t="s">
        <v>30</v>
      </c>
      <c r="V85" t="s">
        <v>30</v>
      </c>
      <c r="W85" t="s">
        <v>30</v>
      </c>
      <c r="X85" t="s">
        <v>30</v>
      </c>
      <c r="Y85" t="s">
        <v>30</v>
      </c>
    </row>
    <row r="86" spans="1:25" x14ac:dyDescent="0.25">
      <c r="A86" t="s">
        <v>25</v>
      </c>
      <c r="B86" t="s">
        <v>26</v>
      </c>
      <c r="C86">
        <v>2024</v>
      </c>
      <c r="D86" s="1">
        <v>45461</v>
      </c>
      <c r="E86" s="2">
        <v>2.0833333333333332E-2</v>
      </c>
      <c r="F86" t="s">
        <v>44</v>
      </c>
      <c r="G86" t="s">
        <v>50</v>
      </c>
      <c r="H86">
        <v>0</v>
      </c>
      <c r="I86">
        <v>4</v>
      </c>
      <c r="J86" t="s">
        <v>38</v>
      </c>
      <c r="K86">
        <v>268</v>
      </c>
      <c r="L86">
        <v>313</v>
      </c>
      <c r="M86">
        <v>294</v>
      </c>
      <c r="N86">
        <v>275</v>
      </c>
      <c r="O86">
        <v>318</v>
      </c>
      <c r="P86">
        <v>297</v>
      </c>
      <c r="Q86">
        <v>263</v>
      </c>
      <c r="R86">
        <v>307</v>
      </c>
      <c r="S86">
        <v>281</v>
      </c>
      <c r="T86" t="s">
        <v>30</v>
      </c>
      <c r="U86" t="s">
        <v>30</v>
      </c>
      <c r="V86" t="s">
        <v>30</v>
      </c>
      <c r="W86" t="s">
        <v>30</v>
      </c>
      <c r="X86" t="s">
        <v>30</v>
      </c>
      <c r="Y86" t="s">
        <v>30</v>
      </c>
    </row>
    <row r="87" spans="1:25" x14ac:dyDescent="0.25">
      <c r="A87" t="s">
        <v>25</v>
      </c>
      <c r="B87" t="s">
        <v>26</v>
      </c>
      <c r="C87">
        <v>2024</v>
      </c>
      <c r="D87" s="1">
        <v>45462</v>
      </c>
      <c r="E87" s="2">
        <v>0.95833333333333326</v>
      </c>
      <c r="F87" t="s">
        <v>41</v>
      </c>
      <c r="G87" t="s">
        <v>27</v>
      </c>
      <c r="H87">
        <v>1</v>
      </c>
      <c r="I87">
        <v>2</v>
      </c>
      <c r="J87" t="s">
        <v>38</v>
      </c>
      <c r="K87">
        <v>168</v>
      </c>
      <c r="L87">
        <v>386</v>
      </c>
      <c r="M87">
        <v>553</v>
      </c>
      <c r="N87">
        <v>173</v>
      </c>
      <c r="O87">
        <v>39</v>
      </c>
      <c r="P87">
        <v>56</v>
      </c>
      <c r="Q87">
        <v>167</v>
      </c>
      <c r="R87">
        <v>371</v>
      </c>
      <c r="S87">
        <v>522</v>
      </c>
      <c r="T87" t="s">
        <v>30</v>
      </c>
      <c r="U87" t="s">
        <v>30</v>
      </c>
      <c r="V87" t="s">
        <v>30</v>
      </c>
      <c r="W87" t="s">
        <v>30</v>
      </c>
      <c r="X87" t="s">
        <v>30</v>
      </c>
      <c r="Y87" t="s">
        <v>30</v>
      </c>
    </row>
    <row r="88" spans="1:25" x14ac:dyDescent="0.25">
      <c r="A88" t="s">
        <v>25</v>
      </c>
      <c r="B88" t="s">
        <v>26</v>
      </c>
      <c r="C88">
        <v>2024</v>
      </c>
      <c r="D88" s="1">
        <v>45462</v>
      </c>
      <c r="E88" s="2">
        <v>0.95833333333333326</v>
      </c>
      <c r="F88" t="s">
        <v>48</v>
      </c>
      <c r="G88" t="s">
        <v>39</v>
      </c>
      <c r="H88">
        <v>1</v>
      </c>
      <c r="I88">
        <v>1</v>
      </c>
      <c r="J88" t="s">
        <v>29</v>
      </c>
      <c r="K88">
        <v>203</v>
      </c>
      <c r="L88">
        <v>332</v>
      </c>
      <c r="M88">
        <v>418</v>
      </c>
      <c r="N88">
        <v>205</v>
      </c>
      <c r="O88">
        <v>34</v>
      </c>
      <c r="P88">
        <v>455</v>
      </c>
      <c r="Q88">
        <v>198</v>
      </c>
      <c r="R88">
        <v>326</v>
      </c>
      <c r="S88">
        <v>404</v>
      </c>
      <c r="T88" t="s">
        <v>30</v>
      </c>
      <c r="U88" t="s">
        <v>30</v>
      </c>
      <c r="V88" t="s">
        <v>30</v>
      </c>
      <c r="W88" t="s">
        <v>30</v>
      </c>
      <c r="X88" t="s">
        <v>30</v>
      </c>
      <c r="Y88" t="s">
        <v>30</v>
      </c>
    </row>
    <row r="89" spans="1:25" x14ac:dyDescent="0.25">
      <c r="A89" t="s">
        <v>25</v>
      </c>
      <c r="B89" t="s">
        <v>26</v>
      </c>
      <c r="C89">
        <v>2024</v>
      </c>
      <c r="D89" s="1">
        <v>45463</v>
      </c>
      <c r="E89" s="2">
        <v>0</v>
      </c>
      <c r="F89" t="s">
        <v>37</v>
      </c>
      <c r="G89" t="s">
        <v>46</v>
      </c>
      <c r="H89">
        <v>1</v>
      </c>
      <c r="I89">
        <v>0</v>
      </c>
      <c r="J89" t="s">
        <v>33</v>
      </c>
      <c r="K89">
        <v>191</v>
      </c>
      <c r="L89">
        <v>344</v>
      </c>
      <c r="M89">
        <v>452</v>
      </c>
      <c r="N89">
        <v>197</v>
      </c>
      <c r="O89">
        <v>347</v>
      </c>
      <c r="P89">
        <v>452</v>
      </c>
      <c r="Q89">
        <v>189</v>
      </c>
      <c r="R89">
        <v>339</v>
      </c>
      <c r="S89">
        <v>428</v>
      </c>
      <c r="T89" t="s">
        <v>30</v>
      </c>
      <c r="U89" t="s">
        <v>30</v>
      </c>
      <c r="V89" t="s">
        <v>30</v>
      </c>
      <c r="W89" t="s">
        <v>30</v>
      </c>
      <c r="X89" t="s">
        <v>30</v>
      </c>
      <c r="Y89" t="s">
        <v>30</v>
      </c>
    </row>
    <row r="90" spans="1:25" x14ac:dyDescent="0.25">
      <c r="A90" t="s">
        <v>25</v>
      </c>
      <c r="B90" t="s">
        <v>26</v>
      </c>
      <c r="C90">
        <v>2024</v>
      </c>
      <c r="D90" s="1">
        <v>45463</v>
      </c>
      <c r="E90" s="2">
        <v>0</v>
      </c>
      <c r="F90" t="s">
        <v>28</v>
      </c>
      <c r="G90" t="s">
        <v>45</v>
      </c>
      <c r="H90">
        <v>2</v>
      </c>
      <c r="I90">
        <v>0</v>
      </c>
      <c r="J90" t="s">
        <v>33</v>
      </c>
      <c r="K90">
        <v>215</v>
      </c>
      <c r="L90">
        <v>31</v>
      </c>
      <c r="M90">
        <v>405</v>
      </c>
      <c r="N90">
        <v>223</v>
      </c>
      <c r="O90">
        <v>32</v>
      </c>
      <c r="P90">
        <v>405</v>
      </c>
      <c r="Q90">
        <v>214</v>
      </c>
      <c r="R90">
        <v>306</v>
      </c>
      <c r="S90">
        <v>378</v>
      </c>
      <c r="T90" t="s">
        <v>30</v>
      </c>
      <c r="U90" t="s">
        <v>30</v>
      </c>
      <c r="V90" t="s">
        <v>30</v>
      </c>
      <c r="W90" t="s">
        <v>30</v>
      </c>
      <c r="X90" t="s">
        <v>30</v>
      </c>
      <c r="Y90" t="s">
        <v>30</v>
      </c>
    </row>
    <row r="91" spans="1:25" x14ac:dyDescent="0.25">
      <c r="A91" t="s">
        <v>25</v>
      </c>
      <c r="B91" t="s">
        <v>26</v>
      </c>
      <c r="C91">
        <v>2024</v>
      </c>
      <c r="D91" s="1">
        <v>45463</v>
      </c>
      <c r="E91" s="2">
        <v>0</v>
      </c>
      <c r="F91" t="s">
        <v>36</v>
      </c>
      <c r="G91" t="s">
        <v>40</v>
      </c>
      <c r="H91">
        <v>0</v>
      </c>
      <c r="I91">
        <v>1</v>
      </c>
      <c r="J91" t="s">
        <v>38</v>
      </c>
      <c r="K91">
        <v>154</v>
      </c>
      <c r="L91">
        <v>391</v>
      </c>
      <c r="M91">
        <v>752</v>
      </c>
      <c r="N91">
        <v>16</v>
      </c>
      <c r="O91">
        <v>392</v>
      </c>
      <c r="P91">
        <v>834</v>
      </c>
      <c r="Q91">
        <v>153</v>
      </c>
      <c r="R91">
        <v>377</v>
      </c>
      <c r="S91">
        <v>71</v>
      </c>
      <c r="T91" t="s">
        <v>30</v>
      </c>
      <c r="U91" t="s">
        <v>30</v>
      </c>
      <c r="V91" t="s">
        <v>30</v>
      </c>
      <c r="W91" t="s">
        <v>30</v>
      </c>
      <c r="X91" t="s">
        <v>30</v>
      </c>
      <c r="Y91" t="s">
        <v>30</v>
      </c>
    </row>
    <row r="92" spans="1:25" x14ac:dyDescent="0.25">
      <c r="A92" t="s">
        <v>25</v>
      </c>
      <c r="B92" t="s">
        <v>26</v>
      </c>
      <c r="C92">
        <v>2024</v>
      </c>
      <c r="D92" s="1">
        <v>45463</v>
      </c>
      <c r="E92" s="2">
        <v>6.25E-2</v>
      </c>
      <c r="F92" t="s">
        <v>47</v>
      </c>
      <c r="G92" t="s">
        <v>34</v>
      </c>
      <c r="H92">
        <v>2</v>
      </c>
      <c r="I92">
        <v>0</v>
      </c>
      <c r="J92" t="s">
        <v>33</v>
      </c>
      <c r="K92">
        <v>177</v>
      </c>
      <c r="L92">
        <v>37</v>
      </c>
      <c r="M92">
        <v>497</v>
      </c>
      <c r="N92">
        <v>179</v>
      </c>
      <c r="O92">
        <v>373</v>
      </c>
      <c r="P92">
        <v>51</v>
      </c>
      <c r="Q92">
        <v>175</v>
      </c>
      <c r="R92">
        <v>357</v>
      </c>
      <c r="S92">
        <v>478</v>
      </c>
      <c r="T92" t="s">
        <v>30</v>
      </c>
      <c r="U92" t="s">
        <v>30</v>
      </c>
      <c r="V92" t="s">
        <v>30</v>
      </c>
      <c r="W92" t="s">
        <v>30</v>
      </c>
      <c r="X92" t="s">
        <v>30</v>
      </c>
      <c r="Y92" t="s">
        <v>30</v>
      </c>
    </row>
    <row r="93" spans="1:25" x14ac:dyDescent="0.25">
      <c r="A93" t="s">
        <v>25</v>
      </c>
      <c r="B93" t="s">
        <v>26</v>
      </c>
      <c r="C93">
        <v>2024</v>
      </c>
      <c r="D93" s="1">
        <v>45463</v>
      </c>
      <c r="E93" s="2">
        <v>6.25E-2</v>
      </c>
      <c r="F93" t="s">
        <v>31</v>
      </c>
      <c r="G93" t="s">
        <v>43</v>
      </c>
      <c r="H93">
        <v>1</v>
      </c>
      <c r="I93">
        <v>0</v>
      </c>
      <c r="J93" t="s">
        <v>33</v>
      </c>
      <c r="K93">
        <v>229</v>
      </c>
      <c r="L93">
        <v>314</v>
      </c>
      <c r="M93">
        <v>36</v>
      </c>
      <c r="N93">
        <v>229</v>
      </c>
      <c r="O93">
        <v>329</v>
      </c>
      <c r="P93">
        <v>373</v>
      </c>
      <c r="Q93">
        <v>22</v>
      </c>
      <c r="R93">
        <v>309</v>
      </c>
      <c r="S93">
        <v>354</v>
      </c>
      <c r="T93" t="s">
        <v>30</v>
      </c>
      <c r="U93" t="s">
        <v>30</v>
      </c>
      <c r="V93" t="s">
        <v>30</v>
      </c>
      <c r="W93" t="s">
        <v>30</v>
      </c>
      <c r="X93" t="s">
        <v>30</v>
      </c>
      <c r="Y93" t="s">
        <v>30</v>
      </c>
    </row>
    <row r="94" spans="1:25" x14ac:dyDescent="0.25">
      <c r="A94" t="s">
        <v>25</v>
      </c>
      <c r="B94" t="s">
        <v>26</v>
      </c>
      <c r="C94">
        <v>2024</v>
      </c>
      <c r="D94" s="1">
        <v>45463</v>
      </c>
      <c r="E94" s="2">
        <v>0.9375</v>
      </c>
      <c r="F94" t="s">
        <v>49</v>
      </c>
      <c r="G94" t="s">
        <v>44</v>
      </c>
      <c r="H94">
        <v>4</v>
      </c>
      <c r="I94">
        <v>2</v>
      </c>
      <c r="J94" t="s">
        <v>33</v>
      </c>
      <c r="K94">
        <v>3</v>
      </c>
      <c r="L94">
        <v>295</v>
      </c>
      <c r="M94">
        <v>277</v>
      </c>
      <c r="N94">
        <v>306</v>
      </c>
      <c r="O94">
        <v>3</v>
      </c>
      <c r="P94">
        <v>285</v>
      </c>
      <c r="Q94">
        <v>291</v>
      </c>
      <c r="R94">
        <v>29</v>
      </c>
      <c r="S94">
        <v>27</v>
      </c>
      <c r="T94" t="s">
        <v>30</v>
      </c>
      <c r="U94" t="s">
        <v>30</v>
      </c>
      <c r="V94" t="s">
        <v>30</v>
      </c>
      <c r="W94" t="s">
        <v>30</v>
      </c>
      <c r="X94" t="s">
        <v>30</v>
      </c>
      <c r="Y94" t="s">
        <v>30</v>
      </c>
    </row>
    <row r="95" spans="1:25" x14ac:dyDescent="0.25">
      <c r="A95" t="s">
        <v>25</v>
      </c>
      <c r="B95" t="s">
        <v>26</v>
      </c>
      <c r="C95">
        <v>2024</v>
      </c>
      <c r="D95" s="1">
        <v>45464</v>
      </c>
      <c r="E95" s="2">
        <v>0</v>
      </c>
      <c r="F95" t="s">
        <v>42</v>
      </c>
      <c r="G95" t="s">
        <v>32</v>
      </c>
      <c r="H95">
        <v>2</v>
      </c>
      <c r="I95">
        <v>1</v>
      </c>
      <c r="J95" t="s">
        <v>33</v>
      </c>
      <c r="K95">
        <v>162</v>
      </c>
      <c r="L95">
        <v>406</v>
      </c>
      <c r="M95">
        <v>577</v>
      </c>
      <c r="N95">
        <v>165</v>
      </c>
      <c r="O95">
        <v>41</v>
      </c>
      <c r="P95">
        <v>61</v>
      </c>
      <c r="Q95">
        <v>16</v>
      </c>
      <c r="R95">
        <v>396</v>
      </c>
      <c r="S95">
        <v>538</v>
      </c>
      <c r="T95" t="s">
        <v>30</v>
      </c>
      <c r="U95" t="s">
        <v>30</v>
      </c>
      <c r="V95" t="s">
        <v>30</v>
      </c>
      <c r="W95" t="s">
        <v>30</v>
      </c>
      <c r="X95" t="s">
        <v>30</v>
      </c>
      <c r="Y95" t="s">
        <v>30</v>
      </c>
    </row>
    <row r="96" spans="1:25" x14ac:dyDescent="0.25">
      <c r="A96" t="s">
        <v>25</v>
      </c>
      <c r="B96" t="s">
        <v>26</v>
      </c>
      <c r="C96">
        <v>2024</v>
      </c>
      <c r="D96" s="1">
        <v>45464</v>
      </c>
      <c r="E96" s="2">
        <v>6.25E-2</v>
      </c>
      <c r="F96" t="s">
        <v>50</v>
      </c>
      <c r="G96" t="s">
        <v>35</v>
      </c>
      <c r="H96">
        <v>2</v>
      </c>
      <c r="I96">
        <v>1</v>
      </c>
      <c r="J96" t="s">
        <v>33</v>
      </c>
      <c r="K96">
        <v>176</v>
      </c>
      <c r="L96">
        <v>37</v>
      </c>
      <c r="M96">
        <v>504</v>
      </c>
      <c r="N96">
        <v>177</v>
      </c>
      <c r="O96">
        <v>378</v>
      </c>
      <c r="P96">
        <v>575</v>
      </c>
      <c r="Q96">
        <v>171</v>
      </c>
      <c r="R96">
        <v>367</v>
      </c>
      <c r="S96">
        <v>49</v>
      </c>
      <c r="T96" t="s">
        <v>30</v>
      </c>
      <c r="U96" t="s">
        <v>30</v>
      </c>
      <c r="V96" t="s">
        <v>30</v>
      </c>
      <c r="W96" t="s">
        <v>30</v>
      </c>
      <c r="X96" t="s">
        <v>30</v>
      </c>
      <c r="Y96" t="s">
        <v>30</v>
      </c>
    </row>
    <row r="97" spans="1:25" x14ac:dyDescent="0.25">
      <c r="A97" t="s">
        <v>25</v>
      </c>
      <c r="B97" t="s">
        <v>26</v>
      </c>
      <c r="C97">
        <v>2024</v>
      </c>
      <c r="D97" s="1">
        <v>45465</v>
      </c>
      <c r="E97" s="2">
        <v>0.83333333333333326</v>
      </c>
      <c r="F97" t="s">
        <v>27</v>
      </c>
      <c r="G97" t="s">
        <v>48</v>
      </c>
      <c r="H97">
        <v>2</v>
      </c>
      <c r="I97">
        <v>1</v>
      </c>
      <c r="J97" t="s">
        <v>33</v>
      </c>
      <c r="K97">
        <v>304</v>
      </c>
      <c r="L97">
        <v>331</v>
      </c>
      <c r="M97">
        <v>249</v>
      </c>
      <c r="N97">
        <v>311</v>
      </c>
      <c r="O97">
        <v>334</v>
      </c>
      <c r="P97">
        <v>25</v>
      </c>
      <c r="Q97">
        <v>3</v>
      </c>
      <c r="R97">
        <v>321</v>
      </c>
      <c r="S97">
        <v>24</v>
      </c>
      <c r="T97" t="s">
        <v>30</v>
      </c>
      <c r="U97" t="s">
        <v>30</v>
      </c>
      <c r="V97" t="s">
        <v>30</v>
      </c>
      <c r="W97" t="s">
        <v>30</v>
      </c>
      <c r="X97" t="s">
        <v>30</v>
      </c>
      <c r="Y97" t="s">
        <v>30</v>
      </c>
    </row>
    <row r="98" spans="1:25" x14ac:dyDescent="0.25">
      <c r="A98" t="s">
        <v>25</v>
      </c>
      <c r="B98" t="s">
        <v>26</v>
      </c>
      <c r="C98">
        <v>2024</v>
      </c>
      <c r="D98" s="1">
        <v>45465</v>
      </c>
      <c r="E98" s="2">
        <v>0.89583333333333326</v>
      </c>
      <c r="F98" t="s">
        <v>46</v>
      </c>
      <c r="G98" t="s">
        <v>31</v>
      </c>
      <c r="H98">
        <v>0</v>
      </c>
      <c r="I98">
        <v>1</v>
      </c>
      <c r="J98" t="s">
        <v>38</v>
      </c>
      <c r="K98">
        <v>325</v>
      </c>
      <c r="L98">
        <v>301</v>
      </c>
      <c r="M98">
        <v>255</v>
      </c>
      <c r="N98">
        <v>325</v>
      </c>
      <c r="O98">
        <v>306</v>
      </c>
      <c r="P98">
        <v>268</v>
      </c>
      <c r="Q98">
        <v>303</v>
      </c>
      <c r="R98">
        <v>297</v>
      </c>
      <c r="S98">
        <v>255</v>
      </c>
      <c r="T98" t="s">
        <v>30</v>
      </c>
      <c r="U98" t="s">
        <v>30</v>
      </c>
      <c r="V98" t="s">
        <v>30</v>
      </c>
      <c r="W98" t="s">
        <v>30</v>
      </c>
      <c r="X98" t="s">
        <v>30</v>
      </c>
      <c r="Y98" t="s">
        <v>30</v>
      </c>
    </row>
    <row r="99" spans="1:25" x14ac:dyDescent="0.25">
      <c r="A99" t="s">
        <v>25</v>
      </c>
      <c r="B99" t="s">
        <v>26</v>
      </c>
      <c r="C99">
        <v>2024</v>
      </c>
      <c r="D99" s="1">
        <v>45465</v>
      </c>
      <c r="E99" s="2">
        <v>0.9375</v>
      </c>
      <c r="F99" t="s">
        <v>40</v>
      </c>
      <c r="G99" t="s">
        <v>41</v>
      </c>
      <c r="H99">
        <v>0</v>
      </c>
      <c r="I99">
        <v>0</v>
      </c>
      <c r="J99" t="s">
        <v>29</v>
      </c>
      <c r="K99">
        <v>208</v>
      </c>
      <c r="L99">
        <v>32</v>
      </c>
      <c r="M99">
        <v>417</v>
      </c>
      <c r="N99">
        <v>214</v>
      </c>
      <c r="O99">
        <v>33</v>
      </c>
      <c r="P99">
        <v>417</v>
      </c>
      <c r="Q99">
        <v>205</v>
      </c>
      <c r="R99">
        <v>315</v>
      </c>
      <c r="S99">
        <v>391</v>
      </c>
      <c r="T99" t="s">
        <v>30</v>
      </c>
      <c r="U99" t="s">
        <v>30</v>
      </c>
      <c r="V99" t="s">
        <v>30</v>
      </c>
      <c r="W99" t="s">
        <v>30</v>
      </c>
      <c r="X99" t="s">
        <v>30</v>
      </c>
      <c r="Y99" t="s">
        <v>30</v>
      </c>
    </row>
    <row r="100" spans="1:25" x14ac:dyDescent="0.25">
      <c r="A100" t="s">
        <v>25</v>
      </c>
      <c r="B100" t="s">
        <v>26</v>
      </c>
      <c r="C100">
        <v>2024</v>
      </c>
      <c r="D100" s="1">
        <v>45466</v>
      </c>
      <c r="E100" s="2">
        <v>6.25E-2</v>
      </c>
      <c r="F100" t="s">
        <v>45</v>
      </c>
      <c r="G100" t="s">
        <v>36</v>
      </c>
      <c r="H100">
        <v>4</v>
      </c>
      <c r="I100">
        <v>1</v>
      </c>
      <c r="J100" t="s">
        <v>33</v>
      </c>
      <c r="K100">
        <v>34</v>
      </c>
      <c r="L100">
        <v>321</v>
      </c>
      <c r="M100">
        <v>234</v>
      </c>
      <c r="N100">
        <v>346</v>
      </c>
      <c r="O100">
        <v>325</v>
      </c>
      <c r="P100">
        <v>237</v>
      </c>
      <c r="Q100">
        <v>333</v>
      </c>
      <c r="R100">
        <v>312</v>
      </c>
      <c r="S100">
        <v>228</v>
      </c>
      <c r="T100" t="s">
        <v>30</v>
      </c>
      <c r="U100" t="s">
        <v>30</v>
      </c>
      <c r="V100" t="s">
        <v>30</v>
      </c>
      <c r="W100" t="s">
        <v>30</v>
      </c>
      <c r="X100" t="s">
        <v>30</v>
      </c>
      <c r="Y100" t="s">
        <v>30</v>
      </c>
    </row>
    <row r="101" spans="1:25" x14ac:dyDescent="0.25">
      <c r="A101" t="s">
        <v>25</v>
      </c>
      <c r="B101" t="s">
        <v>26</v>
      </c>
      <c r="C101">
        <v>2024</v>
      </c>
      <c r="D101" s="1">
        <v>45466</v>
      </c>
      <c r="E101" s="2">
        <v>0.83333333333333326</v>
      </c>
      <c r="F101" t="s">
        <v>39</v>
      </c>
      <c r="G101" t="s">
        <v>43</v>
      </c>
      <c r="H101">
        <v>1</v>
      </c>
      <c r="I101">
        <v>1</v>
      </c>
      <c r="J101" t="s">
        <v>29</v>
      </c>
      <c r="K101">
        <v>165</v>
      </c>
      <c r="L101">
        <v>401</v>
      </c>
      <c r="M101">
        <v>556</v>
      </c>
      <c r="N101">
        <v>17</v>
      </c>
      <c r="O101">
        <v>404</v>
      </c>
      <c r="P101">
        <v>57</v>
      </c>
      <c r="Q101">
        <v>164</v>
      </c>
      <c r="R101">
        <v>389</v>
      </c>
      <c r="S101">
        <v>52</v>
      </c>
      <c r="T101" t="s">
        <v>30</v>
      </c>
      <c r="U101" t="s">
        <v>30</v>
      </c>
      <c r="V101" t="s">
        <v>30</v>
      </c>
      <c r="W101" t="s">
        <v>30</v>
      </c>
      <c r="X101" t="s">
        <v>30</v>
      </c>
      <c r="Y101" t="s">
        <v>30</v>
      </c>
    </row>
    <row r="102" spans="1:25" x14ac:dyDescent="0.25">
      <c r="A102" t="s">
        <v>25</v>
      </c>
      <c r="B102" t="s">
        <v>26</v>
      </c>
      <c r="C102">
        <v>2024</v>
      </c>
      <c r="D102" s="1">
        <v>45466</v>
      </c>
      <c r="E102" s="2">
        <v>0.83333333333333326</v>
      </c>
      <c r="F102" t="s">
        <v>32</v>
      </c>
      <c r="G102" t="s">
        <v>47</v>
      </c>
      <c r="H102">
        <v>4</v>
      </c>
      <c r="I102">
        <v>1</v>
      </c>
      <c r="J102" t="s">
        <v>33</v>
      </c>
      <c r="K102">
        <v>212</v>
      </c>
      <c r="L102">
        <v>335</v>
      </c>
      <c r="M102">
        <v>381</v>
      </c>
      <c r="N102">
        <v>212</v>
      </c>
      <c r="O102">
        <v>335</v>
      </c>
      <c r="P102">
        <v>396</v>
      </c>
      <c r="Q102">
        <v>205</v>
      </c>
      <c r="R102">
        <v>326</v>
      </c>
      <c r="S102">
        <v>376</v>
      </c>
      <c r="T102" t="s">
        <v>30</v>
      </c>
      <c r="U102" t="s">
        <v>30</v>
      </c>
      <c r="V102" t="s">
        <v>30</v>
      </c>
      <c r="W102" t="s">
        <v>30</v>
      </c>
      <c r="X102" t="s">
        <v>30</v>
      </c>
      <c r="Y102" t="s">
        <v>30</v>
      </c>
    </row>
    <row r="103" spans="1:25" x14ac:dyDescent="0.25">
      <c r="A103" t="s">
        <v>25</v>
      </c>
      <c r="B103" t="s">
        <v>26</v>
      </c>
      <c r="C103">
        <v>2024</v>
      </c>
      <c r="D103" s="1">
        <v>45466</v>
      </c>
      <c r="E103" s="2">
        <v>0.83333333333333326</v>
      </c>
      <c r="F103" t="s">
        <v>34</v>
      </c>
      <c r="G103" t="s">
        <v>42</v>
      </c>
      <c r="H103">
        <v>0</v>
      </c>
      <c r="I103">
        <v>1</v>
      </c>
      <c r="J103" t="s">
        <v>38</v>
      </c>
      <c r="K103">
        <v>46</v>
      </c>
      <c r="L103">
        <v>379</v>
      </c>
      <c r="M103">
        <v>181</v>
      </c>
      <c r="N103">
        <v>47</v>
      </c>
      <c r="O103">
        <v>395</v>
      </c>
      <c r="P103">
        <v>191</v>
      </c>
      <c r="Q103">
        <v>444</v>
      </c>
      <c r="R103">
        <v>37</v>
      </c>
      <c r="S103">
        <v>177</v>
      </c>
      <c r="T103" t="s">
        <v>30</v>
      </c>
      <c r="U103" t="s">
        <v>30</v>
      </c>
      <c r="V103" t="s">
        <v>30</v>
      </c>
      <c r="W103" t="s">
        <v>30</v>
      </c>
      <c r="X103" t="s">
        <v>30</v>
      </c>
      <c r="Y103" t="s">
        <v>30</v>
      </c>
    </row>
    <row r="104" spans="1:25" x14ac:dyDescent="0.25">
      <c r="A104" t="s">
        <v>25</v>
      </c>
      <c r="B104" t="s">
        <v>26</v>
      </c>
      <c r="C104">
        <v>2024</v>
      </c>
      <c r="D104" s="1">
        <v>45466</v>
      </c>
      <c r="E104" s="2">
        <v>0.9375</v>
      </c>
      <c r="F104" t="s">
        <v>44</v>
      </c>
      <c r="G104" t="s">
        <v>37</v>
      </c>
      <c r="H104">
        <v>1</v>
      </c>
      <c r="I104">
        <v>1</v>
      </c>
      <c r="J104" t="s">
        <v>29</v>
      </c>
      <c r="K104">
        <v>175</v>
      </c>
      <c r="L104">
        <v>361</v>
      </c>
      <c r="M104">
        <v>53</v>
      </c>
      <c r="N104">
        <v>181</v>
      </c>
      <c r="O104">
        <v>375</v>
      </c>
      <c r="P104">
        <v>53</v>
      </c>
      <c r="Q104">
        <v>174</v>
      </c>
      <c r="R104">
        <v>351</v>
      </c>
      <c r="S104">
        <v>497</v>
      </c>
      <c r="T104" t="s">
        <v>30</v>
      </c>
      <c r="U104" t="s">
        <v>30</v>
      </c>
      <c r="V104" t="s">
        <v>30</v>
      </c>
      <c r="W104" t="s">
        <v>30</v>
      </c>
      <c r="X104" t="s">
        <v>30</v>
      </c>
      <c r="Y104" t="s">
        <v>30</v>
      </c>
    </row>
    <row r="105" spans="1:25" x14ac:dyDescent="0.25">
      <c r="A105" t="s">
        <v>25</v>
      </c>
      <c r="B105" t="s">
        <v>26</v>
      </c>
      <c r="C105">
        <v>2024</v>
      </c>
      <c r="D105" s="1">
        <v>45466</v>
      </c>
      <c r="E105" s="2">
        <v>0.9375</v>
      </c>
      <c r="F105" t="s">
        <v>35</v>
      </c>
      <c r="G105" t="s">
        <v>49</v>
      </c>
      <c r="H105">
        <v>2</v>
      </c>
      <c r="I105">
        <v>1</v>
      </c>
      <c r="J105" t="s">
        <v>33</v>
      </c>
      <c r="K105">
        <v>155</v>
      </c>
      <c r="L105">
        <v>416</v>
      </c>
      <c r="M105">
        <v>652</v>
      </c>
      <c r="N105">
        <v>155</v>
      </c>
      <c r="O105">
        <v>423</v>
      </c>
      <c r="P105">
        <v>692</v>
      </c>
      <c r="Q105">
        <v>151</v>
      </c>
      <c r="R105">
        <v>404</v>
      </c>
      <c r="S105">
        <v>648</v>
      </c>
      <c r="T105" t="s">
        <v>30</v>
      </c>
      <c r="U105" t="s">
        <v>30</v>
      </c>
      <c r="V105" t="s">
        <v>30</v>
      </c>
      <c r="W105" t="s">
        <v>30</v>
      </c>
      <c r="X105" t="s">
        <v>30</v>
      </c>
      <c r="Y105" t="s">
        <v>30</v>
      </c>
    </row>
    <row r="106" spans="1:25" x14ac:dyDescent="0.25">
      <c r="A106" t="s">
        <v>25</v>
      </c>
      <c r="B106" t="s">
        <v>26</v>
      </c>
      <c r="C106">
        <v>2024</v>
      </c>
      <c r="D106" s="1">
        <v>45466</v>
      </c>
      <c r="E106" s="2">
        <v>0.9375</v>
      </c>
      <c r="F106" t="s">
        <v>50</v>
      </c>
      <c r="G106" t="s">
        <v>28</v>
      </c>
      <c r="H106">
        <v>3</v>
      </c>
      <c r="I106">
        <v>1</v>
      </c>
      <c r="J106" t="s">
        <v>33</v>
      </c>
      <c r="K106">
        <v>142</v>
      </c>
      <c r="L106">
        <v>464</v>
      </c>
      <c r="M106">
        <v>834</v>
      </c>
      <c r="N106">
        <v>144</v>
      </c>
      <c r="O106">
        <v>49</v>
      </c>
      <c r="P106">
        <v>9</v>
      </c>
      <c r="Q106">
        <v>139</v>
      </c>
      <c r="R106">
        <v>449</v>
      </c>
      <c r="S106">
        <v>817</v>
      </c>
      <c r="T106" t="s">
        <v>30</v>
      </c>
      <c r="U106" t="s">
        <v>30</v>
      </c>
      <c r="V106" t="s">
        <v>30</v>
      </c>
      <c r="W106" t="s">
        <v>30</v>
      </c>
      <c r="X106" t="s">
        <v>30</v>
      </c>
      <c r="Y106" t="s">
        <v>30</v>
      </c>
    </row>
    <row r="107" spans="1:25" x14ac:dyDescent="0.25">
      <c r="A107" t="s">
        <v>25</v>
      </c>
      <c r="B107" t="s">
        <v>26</v>
      </c>
      <c r="C107">
        <v>2024</v>
      </c>
      <c r="D107" s="1">
        <v>45469</v>
      </c>
      <c r="E107" s="2">
        <v>0.95833333333333326</v>
      </c>
      <c r="F107" t="s">
        <v>48</v>
      </c>
      <c r="G107" t="s">
        <v>35</v>
      </c>
      <c r="H107">
        <v>2</v>
      </c>
      <c r="I107">
        <v>1</v>
      </c>
      <c r="J107" t="s">
        <v>33</v>
      </c>
      <c r="K107">
        <v>199</v>
      </c>
      <c r="L107">
        <v>349</v>
      </c>
      <c r="M107">
        <v>407</v>
      </c>
      <c r="N107">
        <v>202</v>
      </c>
      <c r="O107">
        <v>35</v>
      </c>
      <c r="P107">
        <v>421</v>
      </c>
      <c r="Q107">
        <v>195</v>
      </c>
      <c r="R107">
        <v>34</v>
      </c>
      <c r="S107">
        <v>393</v>
      </c>
      <c r="T107" t="s">
        <v>30</v>
      </c>
      <c r="U107" t="s">
        <v>30</v>
      </c>
      <c r="V107" t="s">
        <v>30</v>
      </c>
      <c r="W107" t="s">
        <v>30</v>
      </c>
      <c r="X107" t="s">
        <v>30</v>
      </c>
      <c r="Y107" t="s">
        <v>30</v>
      </c>
    </row>
    <row r="108" spans="1:25" x14ac:dyDescent="0.25">
      <c r="A108" t="s">
        <v>25</v>
      </c>
      <c r="B108" t="s">
        <v>26</v>
      </c>
      <c r="C108">
        <v>2024</v>
      </c>
      <c r="D108" s="1">
        <v>45469</v>
      </c>
      <c r="E108" s="2">
        <v>0.95833333333333326</v>
      </c>
      <c r="F108" t="s">
        <v>47</v>
      </c>
      <c r="G108" t="s">
        <v>39</v>
      </c>
      <c r="H108">
        <v>2</v>
      </c>
      <c r="I108">
        <v>0</v>
      </c>
      <c r="J108" t="s">
        <v>33</v>
      </c>
      <c r="K108">
        <v>217</v>
      </c>
      <c r="L108">
        <v>318</v>
      </c>
      <c r="M108">
        <v>386</v>
      </c>
      <c r="N108">
        <v>222</v>
      </c>
      <c r="O108">
        <v>32</v>
      </c>
      <c r="P108">
        <v>386</v>
      </c>
      <c r="Q108">
        <v>214</v>
      </c>
      <c r="R108">
        <v>31</v>
      </c>
      <c r="S108">
        <v>37</v>
      </c>
      <c r="T108" t="s">
        <v>30</v>
      </c>
      <c r="U108" t="s">
        <v>30</v>
      </c>
      <c r="V108" t="s">
        <v>30</v>
      </c>
      <c r="W108" t="s">
        <v>30</v>
      </c>
      <c r="X108" t="s">
        <v>30</v>
      </c>
      <c r="Y108" t="s">
        <v>30</v>
      </c>
    </row>
    <row r="109" spans="1:25" x14ac:dyDescent="0.25">
      <c r="A109" t="s">
        <v>25</v>
      </c>
      <c r="B109" t="s">
        <v>26</v>
      </c>
      <c r="C109">
        <v>2024</v>
      </c>
      <c r="D109" s="1">
        <v>45470</v>
      </c>
      <c r="E109" s="2">
        <v>0</v>
      </c>
      <c r="F109" t="s">
        <v>41</v>
      </c>
      <c r="G109" t="s">
        <v>46</v>
      </c>
      <c r="H109">
        <v>1</v>
      </c>
      <c r="I109">
        <v>1</v>
      </c>
      <c r="J109" t="s">
        <v>29</v>
      </c>
      <c r="K109">
        <v>226</v>
      </c>
      <c r="L109">
        <v>318</v>
      </c>
      <c r="M109">
        <v>363</v>
      </c>
      <c r="N109">
        <v>229</v>
      </c>
      <c r="O109">
        <v>323</v>
      </c>
      <c r="P109">
        <v>367</v>
      </c>
      <c r="Q109">
        <v>219</v>
      </c>
      <c r="R109">
        <v>315</v>
      </c>
      <c r="S109">
        <v>348</v>
      </c>
      <c r="T109" t="s">
        <v>30</v>
      </c>
      <c r="U109" t="s">
        <v>30</v>
      </c>
      <c r="V109" t="s">
        <v>30</v>
      </c>
      <c r="W109" t="s">
        <v>30</v>
      </c>
      <c r="X109" t="s">
        <v>30</v>
      </c>
      <c r="Y109" t="s">
        <v>30</v>
      </c>
    </row>
    <row r="110" spans="1:25" x14ac:dyDescent="0.25">
      <c r="A110" t="s">
        <v>25</v>
      </c>
      <c r="B110" t="s">
        <v>26</v>
      </c>
      <c r="C110">
        <v>2024</v>
      </c>
      <c r="D110" s="1">
        <v>45470</v>
      </c>
      <c r="E110" s="2">
        <v>0</v>
      </c>
      <c r="F110" t="s">
        <v>43</v>
      </c>
      <c r="G110" t="s">
        <v>40</v>
      </c>
      <c r="H110">
        <v>1</v>
      </c>
      <c r="I110">
        <v>1</v>
      </c>
      <c r="J110" t="s">
        <v>29</v>
      </c>
      <c r="K110">
        <v>205</v>
      </c>
      <c r="L110">
        <v>329</v>
      </c>
      <c r="M110">
        <v>414</v>
      </c>
      <c r="N110">
        <v>206</v>
      </c>
      <c r="O110">
        <v>329</v>
      </c>
      <c r="P110">
        <v>44</v>
      </c>
      <c r="Q110">
        <v>2</v>
      </c>
      <c r="R110">
        <v>319</v>
      </c>
      <c r="S110">
        <v>408</v>
      </c>
      <c r="T110" t="s">
        <v>30</v>
      </c>
      <c r="U110" t="s">
        <v>30</v>
      </c>
      <c r="V110" t="s">
        <v>30</v>
      </c>
      <c r="W110" t="s">
        <v>30</v>
      </c>
      <c r="X110" t="s">
        <v>30</v>
      </c>
      <c r="Y110" t="s">
        <v>30</v>
      </c>
    </row>
    <row r="111" spans="1:25" x14ac:dyDescent="0.25">
      <c r="A111" t="s">
        <v>25</v>
      </c>
      <c r="B111" t="s">
        <v>26</v>
      </c>
      <c r="C111">
        <v>2024</v>
      </c>
      <c r="D111" s="1">
        <v>45470</v>
      </c>
      <c r="E111" s="2">
        <v>0</v>
      </c>
      <c r="F111" t="s">
        <v>28</v>
      </c>
      <c r="G111" t="s">
        <v>42</v>
      </c>
      <c r="H111">
        <v>2</v>
      </c>
      <c r="I111">
        <v>1</v>
      </c>
      <c r="J111" t="s">
        <v>33</v>
      </c>
      <c r="K111">
        <v>49</v>
      </c>
      <c r="L111">
        <v>343</v>
      </c>
      <c r="M111">
        <v>185</v>
      </c>
      <c r="N111">
        <v>5</v>
      </c>
      <c r="O111">
        <v>343</v>
      </c>
      <c r="P111">
        <v>196</v>
      </c>
      <c r="Q111">
        <v>455</v>
      </c>
      <c r="R111">
        <v>331</v>
      </c>
      <c r="S111">
        <v>186</v>
      </c>
      <c r="T111" t="s">
        <v>30</v>
      </c>
      <c r="U111" t="s">
        <v>30</v>
      </c>
      <c r="V111" t="s">
        <v>30</v>
      </c>
      <c r="W111" t="s">
        <v>30</v>
      </c>
      <c r="X111" t="s">
        <v>30</v>
      </c>
      <c r="Y111" t="s">
        <v>30</v>
      </c>
    </row>
    <row r="112" spans="1:25" x14ac:dyDescent="0.25">
      <c r="A112" t="s">
        <v>25</v>
      </c>
      <c r="B112" t="s">
        <v>26</v>
      </c>
      <c r="C112">
        <v>2024</v>
      </c>
      <c r="D112" s="1">
        <v>45470</v>
      </c>
      <c r="E112" s="2">
        <v>6.25E-2</v>
      </c>
      <c r="F112" t="s">
        <v>32</v>
      </c>
      <c r="G112" t="s">
        <v>45</v>
      </c>
      <c r="H112">
        <v>2</v>
      </c>
      <c r="I112">
        <v>1</v>
      </c>
      <c r="J112" t="s">
        <v>33</v>
      </c>
      <c r="K112">
        <v>161</v>
      </c>
      <c r="L112">
        <v>407</v>
      </c>
      <c r="M112">
        <v>586</v>
      </c>
      <c r="N112">
        <v>163</v>
      </c>
      <c r="O112">
        <v>41</v>
      </c>
      <c r="P112">
        <v>59</v>
      </c>
      <c r="Q112">
        <v>159</v>
      </c>
      <c r="R112">
        <v>393</v>
      </c>
      <c r="S112">
        <v>559</v>
      </c>
      <c r="T112" t="s">
        <v>30</v>
      </c>
      <c r="U112" t="s">
        <v>30</v>
      </c>
      <c r="V112" t="s">
        <v>30</v>
      </c>
      <c r="W112" t="s">
        <v>30</v>
      </c>
      <c r="X112" t="s">
        <v>30</v>
      </c>
      <c r="Y112" t="s">
        <v>30</v>
      </c>
    </row>
    <row r="113" spans="1:25" x14ac:dyDescent="0.25">
      <c r="A113" t="s">
        <v>25</v>
      </c>
      <c r="B113" t="s">
        <v>26</v>
      </c>
      <c r="C113">
        <v>2024</v>
      </c>
      <c r="D113" s="1">
        <v>45470</v>
      </c>
      <c r="E113" s="2">
        <v>6.25E-2</v>
      </c>
      <c r="F113" t="s">
        <v>37</v>
      </c>
      <c r="G113" t="s">
        <v>50</v>
      </c>
      <c r="H113">
        <v>3</v>
      </c>
      <c r="I113">
        <v>0</v>
      </c>
      <c r="J113" t="s">
        <v>33</v>
      </c>
      <c r="K113">
        <v>319</v>
      </c>
      <c r="L113">
        <v>318</v>
      </c>
      <c r="M113">
        <v>245</v>
      </c>
      <c r="N113">
        <v>325</v>
      </c>
      <c r="O113">
        <v>32</v>
      </c>
      <c r="P113">
        <v>246</v>
      </c>
      <c r="Q113">
        <v>31</v>
      </c>
      <c r="R113">
        <v>309</v>
      </c>
      <c r="S113">
        <v>241</v>
      </c>
      <c r="T113" t="s">
        <v>30</v>
      </c>
      <c r="U113" t="s">
        <v>30</v>
      </c>
      <c r="V113" t="s">
        <v>30</v>
      </c>
      <c r="W113" t="s">
        <v>30</v>
      </c>
      <c r="X113" t="s">
        <v>30</v>
      </c>
      <c r="Y113" t="s">
        <v>30</v>
      </c>
    </row>
    <row r="114" spans="1:25" x14ac:dyDescent="0.25">
      <c r="A114" t="s">
        <v>25</v>
      </c>
      <c r="B114" t="s">
        <v>26</v>
      </c>
      <c r="C114">
        <v>2024</v>
      </c>
      <c r="D114" s="1">
        <v>45470</v>
      </c>
      <c r="E114" s="2">
        <v>6.25E-2</v>
      </c>
      <c r="F114" t="s">
        <v>31</v>
      </c>
      <c r="G114" t="s">
        <v>44</v>
      </c>
      <c r="H114">
        <v>1</v>
      </c>
      <c r="I114">
        <v>2</v>
      </c>
      <c r="J114" t="s">
        <v>38</v>
      </c>
      <c r="K114">
        <v>208</v>
      </c>
      <c r="L114">
        <v>303</v>
      </c>
      <c r="M114">
        <v>39</v>
      </c>
      <c r="N114">
        <v>225</v>
      </c>
      <c r="O114">
        <v>326</v>
      </c>
      <c r="P114">
        <v>42</v>
      </c>
      <c r="Q114">
        <v>213</v>
      </c>
      <c r="R114">
        <v>305</v>
      </c>
      <c r="S114">
        <v>38</v>
      </c>
      <c r="T114" t="s">
        <v>30</v>
      </c>
      <c r="U114" t="s">
        <v>30</v>
      </c>
      <c r="V114" t="s">
        <v>30</v>
      </c>
      <c r="W114" t="s">
        <v>30</v>
      </c>
      <c r="X114" t="s">
        <v>30</v>
      </c>
      <c r="Y114" t="s">
        <v>30</v>
      </c>
    </row>
    <row r="115" spans="1:25" x14ac:dyDescent="0.25">
      <c r="A115" t="s">
        <v>25</v>
      </c>
      <c r="B115" t="s">
        <v>26</v>
      </c>
      <c r="C115">
        <v>2024</v>
      </c>
      <c r="D115" s="1">
        <v>45470</v>
      </c>
      <c r="E115" s="2">
        <v>0.95833333333333326</v>
      </c>
      <c r="F115" t="s">
        <v>34</v>
      </c>
      <c r="G115" t="s">
        <v>49</v>
      </c>
      <c r="H115">
        <v>0</v>
      </c>
      <c r="I115">
        <v>1</v>
      </c>
      <c r="J115" t="s">
        <v>38</v>
      </c>
      <c r="K115">
        <v>188</v>
      </c>
      <c r="L115">
        <v>359</v>
      </c>
      <c r="M115">
        <v>444</v>
      </c>
      <c r="N115">
        <v>192</v>
      </c>
      <c r="O115">
        <v>365</v>
      </c>
      <c r="P115">
        <v>472</v>
      </c>
      <c r="Q115">
        <v>186</v>
      </c>
      <c r="R115">
        <v>347</v>
      </c>
      <c r="S115">
        <v>426</v>
      </c>
      <c r="T115" t="s">
        <v>30</v>
      </c>
      <c r="U115" t="s">
        <v>30</v>
      </c>
      <c r="V115" t="s">
        <v>30</v>
      </c>
      <c r="W115" t="s">
        <v>30</v>
      </c>
      <c r="X115" t="s">
        <v>30</v>
      </c>
      <c r="Y115" t="s">
        <v>30</v>
      </c>
    </row>
    <row r="116" spans="1:25" x14ac:dyDescent="0.25">
      <c r="A116" t="s">
        <v>25</v>
      </c>
      <c r="B116" t="s">
        <v>26</v>
      </c>
      <c r="C116">
        <v>2024</v>
      </c>
      <c r="D116" s="1">
        <v>45471</v>
      </c>
      <c r="E116" s="2">
        <v>0</v>
      </c>
      <c r="F116" t="s">
        <v>36</v>
      </c>
      <c r="G116" t="s">
        <v>27</v>
      </c>
      <c r="H116">
        <v>2</v>
      </c>
      <c r="I116">
        <v>1</v>
      </c>
      <c r="J116" t="s">
        <v>33</v>
      </c>
      <c r="K116">
        <v>156</v>
      </c>
      <c r="L116">
        <v>417</v>
      </c>
      <c r="M116">
        <v>638</v>
      </c>
      <c r="N116">
        <v>159</v>
      </c>
      <c r="O116">
        <v>42</v>
      </c>
      <c r="P116">
        <v>66</v>
      </c>
      <c r="Q116">
        <v>153</v>
      </c>
      <c r="R116">
        <v>405</v>
      </c>
      <c r="S116">
        <v>614</v>
      </c>
      <c r="T116" t="s">
        <v>30</v>
      </c>
      <c r="U116" t="s">
        <v>30</v>
      </c>
      <c r="V116" t="s">
        <v>30</v>
      </c>
      <c r="W116" t="s">
        <v>30</v>
      </c>
      <c r="X116" t="s">
        <v>30</v>
      </c>
      <c r="Y116" t="s">
        <v>30</v>
      </c>
    </row>
    <row r="117" spans="1:25" x14ac:dyDescent="0.25">
      <c r="A117" t="s">
        <v>25</v>
      </c>
      <c r="B117" t="s">
        <v>26</v>
      </c>
      <c r="C117">
        <v>2024</v>
      </c>
      <c r="D117" s="1">
        <v>45472</v>
      </c>
      <c r="E117" s="2">
        <v>0.9375</v>
      </c>
      <c r="F117" t="s">
        <v>40</v>
      </c>
      <c r="G117" t="s">
        <v>35</v>
      </c>
      <c r="H117">
        <v>1</v>
      </c>
      <c r="I117">
        <v>1</v>
      </c>
      <c r="J117" t="s">
        <v>29</v>
      </c>
      <c r="K117">
        <v>28</v>
      </c>
      <c r="L117">
        <v>311</v>
      </c>
      <c r="M117">
        <v>283</v>
      </c>
      <c r="N117">
        <v>282</v>
      </c>
      <c r="O117">
        <v>314</v>
      </c>
      <c r="P117">
        <v>288</v>
      </c>
      <c r="Q117">
        <v>269</v>
      </c>
      <c r="R117">
        <v>305</v>
      </c>
      <c r="S117">
        <v>277</v>
      </c>
      <c r="T117" t="s">
        <v>30</v>
      </c>
      <c r="U117" t="s">
        <v>30</v>
      </c>
      <c r="V117" t="s">
        <v>30</v>
      </c>
      <c r="W117" t="s">
        <v>30</v>
      </c>
      <c r="X117" t="s">
        <v>30</v>
      </c>
      <c r="Y117" t="s">
        <v>30</v>
      </c>
    </row>
    <row r="118" spans="1:25" x14ac:dyDescent="0.25">
      <c r="A118" t="s">
        <v>25</v>
      </c>
      <c r="B118" t="s">
        <v>26</v>
      </c>
      <c r="C118">
        <v>2024</v>
      </c>
      <c r="D118" s="1">
        <v>45472</v>
      </c>
      <c r="E118" s="2">
        <v>0.9375</v>
      </c>
      <c r="F118" t="s">
        <v>45</v>
      </c>
      <c r="G118" t="s">
        <v>48</v>
      </c>
      <c r="H118">
        <v>1</v>
      </c>
      <c r="I118">
        <v>1</v>
      </c>
      <c r="J118" t="s">
        <v>29</v>
      </c>
      <c r="K118">
        <v>308</v>
      </c>
      <c r="L118">
        <v>308</v>
      </c>
      <c r="M118">
        <v>26</v>
      </c>
      <c r="N118">
        <v>317</v>
      </c>
      <c r="O118">
        <v>325</v>
      </c>
      <c r="P118">
        <v>26</v>
      </c>
      <c r="Q118">
        <v>301</v>
      </c>
      <c r="R118">
        <v>309</v>
      </c>
      <c r="S118">
        <v>247</v>
      </c>
      <c r="T118" t="s">
        <v>30</v>
      </c>
      <c r="U118" t="s">
        <v>30</v>
      </c>
      <c r="V118" t="s">
        <v>30</v>
      </c>
      <c r="W118" t="s">
        <v>30</v>
      </c>
      <c r="X118" t="s">
        <v>30</v>
      </c>
      <c r="Y118" t="s">
        <v>30</v>
      </c>
    </row>
    <row r="119" spans="1:25" x14ac:dyDescent="0.25">
      <c r="A119" t="s">
        <v>25</v>
      </c>
      <c r="B119" t="s">
        <v>26</v>
      </c>
      <c r="C119">
        <v>2024</v>
      </c>
      <c r="D119" s="1">
        <v>45473</v>
      </c>
      <c r="E119" s="2">
        <v>0.625</v>
      </c>
      <c r="F119" t="s">
        <v>44</v>
      </c>
      <c r="G119" t="s">
        <v>41</v>
      </c>
      <c r="H119">
        <v>1</v>
      </c>
      <c r="I119">
        <v>1</v>
      </c>
      <c r="J119" t="s">
        <v>29</v>
      </c>
      <c r="K119">
        <v>209</v>
      </c>
      <c r="L119">
        <v>344</v>
      </c>
      <c r="M119">
        <v>387</v>
      </c>
      <c r="N119">
        <v>21</v>
      </c>
      <c r="O119">
        <v>362</v>
      </c>
      <c r="P119">
        <v>396</v>
      </c>
      <c r="Q119">
        <v>201</v>
      </c>
      <c r="R119">
        <v>338</v>
      </c>
      <c r="S119">
        <v>373</v>
      </c>
      <c r="T119" t="s">
        <v>30</v>
      </c>
      <c r="U119" t="s">
        <v>30</v>
      </c>
      <c r="V119" t="s">
        <v>30</v>
      </c>
      <c r="W119" t="s">
        <v>30</v>
      </c>
      <c r="X119" t="s">
        <v>30</v>
      </c>
      <c r="Y119" t="s">
        <v>30</v>
      </c>
    </row>
    <row r="120" spans="1:25" x14ac:dyDescent="0.25">
      <c r="A120" t="s">
        <v>25</v>
      </c>
      <c r="B120" t="s">
        <v>26</v>
      </c>
      <c r="C120">
        <v>2024</v>
      </c>
      <c r="D120" s="1">
        <v>45473</v>
      </c>
      <c r="E120" s="2">
        <v>0.83333333333333326</v>
      </c>
      <c r="F120" t="s">
        <v>37</v>
      </c>
      <c r="G120" t="s">
        <v>28</v>
      </c>
      <c r="H120">
        <v>2</v>
      </c>
      <c r="I120">
        <v>1</v>
      </c>
      <c r="J120" t="s">
        <v>33</v>
      </c>
      <c r="K120">
        <v>166</v>
      </c>
      <c r="L120">
        <v>369</v>
      </c>
      <c r="M120">
        <v>613</v>
      </c>
      <c r="N120">
        <v>167</v>
      </c>
      <c r="O120">
        <v>392</v>
      </c>
      <c r="P120">
        <v>623</v>
      </c>
      <c r="Q120">
        <v>163</v>
      </c>
      <c r="R120">
        <v>366</v>
      </c>
      <c r="S120">
        <v>578</v>
      </c>
      <c r="T120" t="s">
        <v>30</v>
      </c>
      <c r="U120" t="s">
        <v>30</v>
      </c>
      <c r="V120" t="s">
        <v>30</v>
      </c>
      <c r="W120" t="s">
        <v>30</v>
      </c>
      <c r="X120" t="s">
        <v>30</v>
      </c>
      <c r="Y120" t="s">
        <v>30</v>
      </c>
    </row>
    <row r="121" spans="1:25" x14ac:dyDescent="0.25">
      <c r="A121" t="s">
        <v>25</v>
      </c>
      <c r="B121" t="s">
        <v>26</v>
      </c>
      <c r="C121">
        <v>2024</v>
      </c>
      <c r="D121" s="1">
        <v>45473</v>
      </c>
      <c r="E121" s="2">
        <v>0.83333333333333326</v>
      </c>
      <c r="F121" t="s">
        <v>46</v>
      </c>
      <c r="G121" t="s">
        <v>34</v>
      </c>
      <c r="H121">
        <v>1</v>
      </c>
      <c r="I121">
        <v>0</v>
      </c>
      <c r="J121" t="s">
        <v>33</v>
      </c>
      <c r="K121">
        <v>193</v>
      </c>
      <c r="L121">
        <v>34</v>
      </c>
      <c r="M121">
        <v>449</v>
      </c>
      <c r="N121">
        <v>2</v>
      </c>
      <c r="O121">
        <v>345</v>
      </c>
      <c r="P121">
        <v>472</v>
      </c>
      <c r="Q121">
        <v>191</v>
      </c>
      <c r="R121">
        <v>333</v>
      </c>
      <c r="S121">
        <v>426</v>
      </c>
      <c r="T121" t="s">
        <v>30</v>
      </c>
      <c r="U121" t="s">
        <v>30</v>
      </c>
      <c r="V121" t="s">
        <v>30</v>
      </c>
      <c r="W121" t="s">
        <v>30</v>
      </c>
      <c r="X121" t="s">
        <v>30</v>
      </c>
      <c r="Y121" t="s">
        <v>30</v>
      </c>
    </row>
    <row r="122" spans="1:25" x14ac:dyDescent="0.25">
      <c r="A122" t="s">
        <v>25</v>
      </c>
      <c r="B122" t="s">
        <v>26</v>
      </c>
      <c r="C122">
        <v>2024</v>
      </c>
      <c r="D122" s="1">
        <v>45473</v>
      </c>
      <c r="E122" s="2">
        <v>0.83333333333333326</v>
      </c>
      <c r="F122" t="s">
        <v>36</v>
      </c>
      <c r="G122" t="s">
        <v>32</v>
      </c>
      <c r="H122">
        <v>3</v>
      </c>
      <c r="I122">
        <v>1</v>
      </c>
      <c r="J122" t="s">
        <v>33</v>
      </c>
      <c r="K122">
        <v>196</v>
      </c>
      <c r="L122">
        <v>351</v>
      </c>
      <c r="M122">
        <v>418</v>
      </c>
      <c r="N122">
        <v>201</v>
      </c>
      <c r="O122">
        <v>354</v>
      </c>
      <c r="P122">
        <v>42</v>
      </c>
      <c r="Q122">
        <v>196</v>
      </c>
      <c r="R122">
        <v>336</v>
      </c>
      <c r="S122">
        <v>396</v>
      </c>
      <c r="T122" t="s">
        <v>30</v>
      </c>
      <c r="U122" t="s">
        <v>30</v>
      </c>
      <c r="V122" t="s">
        <v>30</v>
      </c>
      <c r="W122" t="s">
        <v>30</v>
      </c>
      <c r="X122" t="s">
        <v>30</v>
      </c>
      <c r="Y122" t="s">
        <v>30</v>
      </c>
    </row>
    <row r="123" spans="1:25" x14ac:dyDescent="0.25">
      <c r="A123" t="s">
        <v>25</v>
      </c>
      <c r="B123" t="s">
        <v>26</v>
      </c>
      <c r="C123">
        <v>2024</v>
      </c>
      <c r="D123" s="1">
        <v>45473</v>
      </c>
      <c r="E123" s="2">
        <v>0.9375</v>
      </c>
      <c r="F123" t="s">
        <v>27</v>
      </c>
      <c r="G123" t="s">
        <v>31</v>
      </c>
      <c r="H123">
        <v>1</v>
      </c>
      <c r="I123">
        <v>1</v>
      </c>
      <c r="J123" t="s">
        <v>29</v>
      </c>
      <c r="K123">
        <v>288</v>
      </c>
      <c r="L123">
        <v>298</v>
      </c>
      <c r="M123">
        <v>286</v>
      </c>
      <c r="N123">
        <v>288</v>
      </c>
      <c r="O123">
        <v>309</v>
      </c>
      <c r="P123">
        <v>286</v>
      </c>
      <c r="Q123">
        <v>279</v>
      </c>
      <c r="R123">
        <v>296</v>
      </c>
      <c r="S123">
        <v>274</v>
      </c>
      <c r="T123" t="s">
        <v>30</v>
      </c>
      <c r="U123" t="s">
        <v>30</v>
      </c>
      <c r="V123" t="s">
        <v>30</v>
      </c>
      <c r="W123" t="s">
        <v>30</v>
      </c>
      <c r="X123" t="s">
        <v>30</v>
      </c>
      <c r="Y123" t="s">
        <v>30</v>
      </c>
    </row>
    <row r="124" spans="1:25" x14ac:dyDescent="0.25">
      <c r="A124" t="s">
        <v>25</v>
      </c>
      <c r="B124" t="s">
        <v>26</v>
      </c>
      <c r="C124">
        <v>2024</v>
      </c>
      <c r="D124" s="1">
        <v>45473</v>
      </c>
      <c r="E124" s="2">
        <v>0.9375</v>
      </c>
      <c r="F124" t="s">
        <v>42</v>
      </c>
      <c r="G124" t="s">
        <v>47</v>
      </c>
      <c r="H124">
        <v>2</v>
      </c>
      <c r="I124">
        <v>1</v>
      </c>
      <c r="J124" t="s">
        <v>33</v>
      </c>
      <c r="K124">
        <v>166</v>
      </c>
      <c r="L124">
        <v>393</v>
      </c>
      <c r="M124">
        <v>556</v>
      </c>
      <c r="N124">
        <v>17</v>
      </c>
      <c r="O124">
        <v>413</v>
      </c>
      <c r="P124">
        <v>572</v>
      </c>
      <c r="Q124">
        <v>164</v>
      </c>
      <c r="R124">
        <v>389</v>
      </c>
      <c r="S124">
        <v>528</v>
      </c>
      <c r="T124" t="s">
        <v>30</v>
      </c>
      <c r="U124" t="s">
        <v>30</v>
      </c>
      <c r="V124" t="s">
        <v>30</v>
      </c>
      <c r="W124" t="s">
        <v>30</v>
      </c>
      <c r="X124" t="s">
        <v>30</v>
      </c>
      <c r="Y124" t="s">
        <v>30</v>
      </c>
    </row>
    <row r="125" spans="1:25" x14ac:dyDescent="0.25">
      <c r="A125" t="s">
        <v>25</v>
      </c>
      <c r="B125" t="s">
        <v>26</v>
      </c>
      <c r="C125">
        <v>2024</v>
      </c>
      <c r="D125" s="1">
        <v>45473</v>
      </c>
      <c r="E125" s="2">
        <v>0.9375</v>
      </c>
      <c r="F125" t="s">
        <v>49</v>
      </c>
      <c r="G125" t="s">
        <v>39</v>
      </c>
      <c r="H125">
        <v>0</v>
      </c>
      <c r="I125">
        <v>1</v>
      </c>
      <c r="J125" t="s">
        <v>38</v>
      </c>
      <c r="K125">
        <v>231</v>
      </c>
      <c r="L125">
        <v>334</v>
      </c>
      <c r="M125">
        <v>332</v>
      </c>
      <c r="N125">
        <v>238</v>
      </c>
      <c r="O125">
        <v>334</v>
      </c>
      <c r="P125">
        <v>35</v>
      </c>
      <c r="Q125">
        <v>229</v>
      </c>
      <c r="R125">
        <v>316</v>
      </c>
      <c r="S125">
        <v>325</v>
      </c>
      <c r="T125" t="s">
        <v>30</v>
      </c>
      <c r="U125" t="s">
        <v>30</v>
      </c>
      <c r="V125" t="s">
        <v>30</v>
      </c>
      <c r="W125" t="s">
        <v>30</v>
      </c>
      <c r="X125" t="s">
        <v>30</v>
      </c>
      <c r="Y125" t="s">
        <v>30</v>
      </c>
    </row>
    <row r="126" spans="1:25" x14ac:dyDescent="0.25">
      <c r="A126" t="s">
        <v>25</v>
      </c>
      <c r="B126" t="s">
        <v>26</v>
      </c>
      <c r="C126">
        <v>2024</v>
      </c>
      <c r="D126" s="1">
        <v>45475</v>
      </c>
      <c r="E126" s="2">
        <v>0</v>
      </c>
      <c r="F126" t="s">
        <v>50</v>
      </c>
      <c r="G126" t="s">
        <v>43</v>
      </c>
      <c r="H126">
        <v>2</v>
      </c>
      <c r="I126">
        <v>0</v>
      </c>
      <c r="J126" t="s">
        <v>33</v>
      </c>
      <c r="K126">
        <v>16</v>
      </c>
      <c r="L126">
        <v>412</v>
      </c>
      <c r="M126">
        <v>589</v>
      </c>
      <c r="N126">
        <v>165</v>
      </c>
      <c r="O126">
        <v>42</v>
      </c>
      <c r="P126">
        <v>613</v>
      </c>
      <c r="Q126">
        <v>158</v>
      </c>
      <c r="R126">
        <v>402</v>
      </c>
      <c r="S126">
        <v>559</v>
      </c>
      <c r="T126" t="s">
        <v>30</v>
      </c>
      <c r="U126" t="s">
        <v>30</v>
      </c>
      <c r="V126" t="s">
        <v>30</v>
      </c>
      <c r="W126" t="s">
        <v>30</v>
      </c>
      <c r="X126" t="s">
        <v>30</v>
      </c>
      <c r="Y126" t="s">
        <v>30</v>
      </c>
    </row>
    <row r="127" spans="1:25" x14ac:dyDescent="0.25">
      <c r="A127" t="s">
        <v>25</v>
      </c>
      <c r="B127" t="s">
        <v>26</v>
      </c>
      <c r="C127">
        <v>2024</v>
      </c>
      <c r="D127" s="1">
        <v>45476</v>
      </c>
      <c r="E127" s="2">
        <v>0.95833333333333326</v>
      </c>
      <c r="F127" t="s">
        <v>40</v>
      </c>
      <c r="G127" t="s">
        <v>48</v>
      </c>
      <c r="H127">
        <v>1</v>
      </c>
      <c r="I127">
        <v>2</v>
      </c>
      <c r="J127" t="s">
        <v>38</v>
      </c>
      <c r="K127">
        <v>261</v>
      </c>
      <c r="L127">
        <v>301</v>
      </c>
      <c r="M127">
        <v>315</v>
      </c>
      <c r="N127">
        <v>27</v>
      </c>
      <c r="O127">
        <v>313</v>
      </c>
      <c r="P127">
        <v>321</v>
      </c>
      <c r="Q127">
        <v>254</v>
      </c>
      <c r="R127">
        <v>299</v>
      </c>
      <c r="S127">
        <v>303</v>
      </c>
      <c r="T127" t="s">
        <v>30</v>
      </c>
      <c r="U127" t="s">
        <v>30</v>
      </c>
      <c r="V127" t="s">
        <v>30</v>
      </c>
      <c r="W127" t="s">
        <v>30</v>
      </c>
      <c r="X127" t="s">
        <v>30</v>
      </c>
      <c r="Y127" t="s">
        <v>30</v>
      </c>
    </row>
    <row r="128" spans="1:25" x14ac:dyDescent="0.25">
      <c r="A128" t="s">
        <v>25</v>
      </c>
      <c r="B128" t="s">
        <v>26</v>
      </c>
      <c r="C128">
        <v>2024</v>
      </c>
      <c r="D128" s="1">
        <v>45477</v>
      </c>
      <c r="E128" s="2">
        <v>0</v>
      </c>
      <c r="F128" t="s">
        <v>27</v>
      </c>
      <c r="G128" t="s">
        <v>47</v>
      </c>
      <c r="H128">
        <v>1</v>
      </c>
      <c r="I128">
        <v>0</v>
      </c>
      <c r="J128" t="s">
        <v>33</v>
      </c>
      <c r="K128">
        <v>248</v>
      </c>
      <c r="L128">
        <v>302</v>
      </c>
      <c r="M128">
        <v>333</v>
      </c>
      <c r="N128">
        <v>261</v>
      </c>
      <c r="O128">
        <v>315</v>
      </c>
      <c r="P128">
        <v>333</v>
      </c>
      <c r="Q128">
        <v>247</v>
      </c>
      <c r="R128">
        <v>298</v>
      </c>
      <c r="S128">
        <v>311</v>
      </c>
      <c r="T128" t="s">
        <v>30</v>
      </c>
      <c r="U128" t="s">
        <v>30</v>
      </c>
      <c r="V128" t="s">
        <v>30</v>
      </c>
      <c r="W128" t="s">
        <v>30</v>
      </c>
      <c r="X128" t="s">
        <v>30</v>
      </c>
      <c r="Y128" t="s">
        <v>30</v>
      </c>
    </row>
    <row r="129" spans="1:25" x14ac:dyDescent="0.25">
      <c r="A129" t="s">
        <v>25</v>
      </c>
      <c r="B129" t="s">
        <v>26</v>
      </c>
      <c r="C129">
        <v>2024</v>
      </c>
      <c r="D129" s="1">
        <v>45477</v>
      </c>
      <c r="E129" s="2">
        <v>0</v>
      </c>
      <c r="F129" t="s">
        <v>45</v>
      </c>
      <c r="G129" t="s">
        <v>37</v>
      </c>
      <c r="H129">
        <v>2</v>
      </c>
      <c r="I129">
        <v>0</v>
      </c>
      <c r="J129" t="s">
        <v>33</v>
      </c>
      <c r="K129">
        <v>236</v>
      </c>
      <c r="L129">
        <v>321</v>
      </c>
      <c r="M129">
        <v>337</v>
      </c>
      <c r="N129">
        <v>236</v>
      </c>
      <c r="O129">
        <v>33</v>
      </c>
      <c r="P129">
        <v>343</v>
      </c>
      <c r="Q129">
        <v>227</v>
      </c>
      <c r="R129">
        <v>319</v>
      </c>
      <c r="S129">
        <v>325</v>
      </c>
      <c r="T129" t="s">
        <v>30</v>
      </c>
      <c r="U129" t="s">
        <v>30</v>
      </c>
      <c r="V129" t="s">
        <v>30</v>
      </c>
      <c r="W129" t="s">
        <v>30</v>
      </c>
      <c r="X129" t="s">
        <v>30</v>
      </c>
      <c r="Y129" t="s">
        <v>30</v>
      </c>
    </row>
    <row r="130" spans="1:25" x14ac:dyDescent="0.25">
      <c r="A130" t="s">
        <v>25</v>
      </c>
      <c r="B130" t="s">
        <v>26</v>
      </c>
      <c r="C130">
        <v>2024</v>
      </c>
      <c r="D130" s="1">
        <v>45477</v>
      </c>
      <c r="E130" s="2">
        <v>6.25E-2</v>
      </c>
      <c r="F130" t="s">
        <v>39</v>
      </c>
      <c r="G130" t="s">
        <v>36</v>
      </c>
      <c r="H130">
        <v>1</v>
      </c>
      <c r="I130">
        <v>2</v>
      </c>
      <c r="J130" t="s">
        <v>38</v>
      </c>
      <c r="K130">
        <v>237</v>
      </c>
      <c r="L130">
        <v>315</v>
      </c>
      <c r="M130">
        <v>34</v>
      </c>
      <c r="N130">
        <v>241</v>
      </c>
      <c r="O130">
        <v>32</v>
      </c>
      <c r="P130">
        <v>345</v>
      </c>
      <c r="Q130">
        <v>232</v>
      </c>
      <c r="R130">
        <v>31</v>
      </c>
      <c r="S130">
        <v>326</v>
      </c>
      <c r="T130" t="s">
        <v>30</v>
      </c>
      <c r="U130" t="s">
        <v>30</v>
      </c>
      <c r="V130" t="s">
        <v>30</v>
      </c>
      <c r="W130" t="s">
        <v>30</v>
      </c>
      <c r="X130" t="s">
        <v>30</v>
      </c>
      <c r="Y130" t="s">
        <v>30</v>
      </c>
    </row>
    <row r="131" spans="1:25" x14ac:dyDescent="0.25">
      <c r="A131" t="s">
        <v>25</v>
      </c>
      <c r="B131" t="s">
        <v>26</v>
      </c>
      <c r="C131">
        <v>2024</v>
      </c>
      <c r="D131" s="1">
        <v>45477</v>
      </c>
      <c r="E131" s="2">
        <v>6.25E-2</v>
      </c>
      <c r="F131" t="s">
        <v>44</v>
      </c>
      <c r="G131" t="s">
        <v>42</v>
      </c>
      <c r="H131">
        <v>2</v>
      </c>
      <c r="I131">
        <v>4</v>
      </c>
      <c r="J131" t="s">
        <v>38</v>
      </c>
      <c r="K131">
        <v>282</v>
      </c>
      <c r="L131">
        <v>311</v>
      </c>
      <c r="M131">
        <v>281</v>
      </c>
      <c r="N131">
        <v>285</v>
      </c>
      <c r="O131">
        <v>321</v>
      </c>
      <c r="P131">
        <v>281</v>
      </c>
      <c r="Q131">
        <v>274</v>
      </c>
      <c r="R131">
        <v>308</v>
      </c>
      <c r="S131">
        <v>269</v>
      </c>
      <c r="T131" t="s">
        <v>30</v>
      </c>
      <c r="U131" t="s">
        <v>30</v>
      </c>
      <c r="V131" t="s">
        <v>30</v>
      </c>
      <c r="W131" t="s">
        <v>30</v>
      </c>
      <c r="X131" t="s">
        <v>30</v>
      </c>
      <c r="Y131" t="s">
        <v>30</v>
      </c>
    </row>
    <row r="132" spans="1:25" x14ac:dyDescent="0.25">
      <c r="A132" t="s">
        <v>25</v>
      </c>
      <c r="B132" t="s">
        <v>26</v>
      </c>
      <c r="C132">
        <v>2024</v>
      </c>
      <c r="D132" s="1">
        <v>45477</v>
      </c>
      <c r="E132" s="2">
        <v>6.25E-2</v>
      </c>
      <c r="F132" t="s">
        <v>35</v>
      </c>
      <c r="G132" t="s">
        <v>41</v>
      </c>
      <c r="H132">
        <v>3</v>
      </c>
      <c r="I132">
        <v>1</v>
      </c>
      <c r="J132" t="s">
        <v>33</v>
      </c>
      <c r="K132">
        <v>187</v>
      </c>
      <c r="L132">
        <v>344</v>
      </c>
      <c r="M132">
        <v>478</v>
      </c>
      <c r="N132">
        <v>189</v>
      </c>
      <c r="O132">
        <v>375</v>
      </c>
      <c r="P132">
        <v>48</v>
      </c>
      <c r="Q132">
        <v>182</v>
      </c>
      <c r="R132">
        <v>342</v>
      </c>
      <c r="S132">
        <v>452</v>
      </c>
      <c r="T132" t="s">
        <v>30</v>
      </c>
      <c r="U132" t="s">
        <v>30</v>
      </c>
      <c r="V132" t="s">
        <v>30</v>
      </c>
      <c r="W132" t="s">
        <v>30</v>
      </c>
      <c r="X132" t="s">
        <v>30</v>
      </c>
      <c r="Y132" t="s">
        <v>30</v>
      </c>
    </row>
    <row r="133" spans="1:25" x14ac:dyDescent="0.25">
      <c r="A133" t="s">
        <v>25</v>
      </c>
      <c r="B133" t="s">
        <v>26</v>
      </c>
      <c r="C133">
        <v>2024</v>
      </c>
      <c r="D133" s="1">
        <v>45477</v>
      </c>
      <c r="E133" s="2">
        <v>0.95833333333333326</v>
      </c>
      <c r="F133" t="s">
        <v>32</v>
      </c>
      <c r="G133" t="s">
        <v>28</v>
      </c>
      <c r="H133">
        <v>2</v>
      </c>
      <c r="I133">
        <v>0</v>
      </c>
      <c r="J133" t="s">
        <v>33</v>
      </c>
      <c r="K133">
        <v>152</v>
      </c>
      <c r="L133">
        <v>432</v>
      </c>
      <c r="M133">
        <v>669</v>
      </c>
      <c r="N133">
        <v>155</v>
      </c>
      <c r="O133">
        <v>44</v>
      </c>
      <c r="P133">
        <v>669</v>
      </c>
      <c r="Q133">
        <v>151</v>
      </c>
      <c r="R133">
        <v>422</v>
      </c>
      <c r="S133">
        <v>618</v>
      </c>
      <c r="T133" t="s">
        <v>30</v>
      </c>
      <c r="U133" t="s">
        <v>30</v>
      </c>
      <c r="V133" t="s">
        <v>30</v>
      </c>
      <c r="W133" t="s">
        <v>30</v>
      </c>
      <c r="X133" t="s">
        <v>30</v>
      </c>
      <c r="Y133" t="s">
        <v>30</v>
      </c>
    </row>
    <row r="134" spans="1:25" x14ac:dyDescent="0.25">
      <c r="A134" t="s">
        <v>25</v>
      </c>
      <c r="B134" t="s">
        <v>26</v>
      </c>
      <c r="C134">
        <v>2024</v>
      </c>
      <c r="D134" s="1">
        <v>45477</v>
      </c>
      <c r="E134" s="2">
        <v>0.95833333333333326</v>
      </c>
      <c r="F134" t="s">
        <v>46</v>
      </c>
      <c r="G134" t="s">
        <v>50</v>
      </c>
      <c r="H134">
        <v>2</v>
      </c>
      <c r="I134">
        <v>2</v>
      </c>
      <c r="J134" t="s">
        <v>29</v>
      </c>
      <c r="K134">
        <v>308</v>
      </c>
      <c r="L134">
        <v>329</v>
      </c>
      <c r="M134">
        <v>247</v>
      </c>
      <c r="N134">
        <v>326</v>
      </c>
      <c r="O134">
        <v>33</v>
      </c>
      <c r="P134">
        <v>248</v>
      </c>
      <c r="Q134">
        <v>31</v>
      </c>
      <c r="R134">
        <v>32</v>
      </c>
      <c r="S134">
        <v>235</v>
      </c>
      <c r="T134" t="s">
        <v>30</v>
      </c>
      <c r="U134" t="s">
        <v>30</v>
      </c>
      <c r="V134" t="s">
        <v>30</v>
      </c>
      <c r="W134" t="s">
        <v>30</v>
      </c>
      <c r="X134" t="s">
        <v>30</v>
      </c>
      <c r="Y134" t="s">
        <v>30</v>
      </c>
    </row>
    <row r="135" spans="1:25" x14ac:dyDescent="0.25">
      <c r="A135" t="s">
        <v>25</v>
      </c>
      <c r="B135" t="s">
        <v>26</v>
      </c>
      <c r="C135">
        <v>2024</v>
      </c>
      <c r="D135" s="1">
        <v>45478</v>
      </c>
      <c r="E135" s="2">
        <v>0</v>
      </c>
      <c r="F135" t="s">
        <v>43</v>
      </c>
      <c r="G135" t="s">
        <v>49</v>
      </c>
      <c r="H135">
        <v>3</v>
      </c>
      <c r="I135">
        <v>2</v>
      </c>
      <c r="J135" t="s">
        <v>33</v>
      </c>
      <c r="K135">
        <v>183</v>
      </c>
      <c r="L135">
        <v>338</v>
      </c>
      <c r="M135">
        <v>513</v>
      </c>
      <c r="N135">
        <v>196</v>
      </c>
      <c r="O135">
        <v>345</v>
      </c>
      <c r="P135">
        <v>55</v>
      </c>
      <c r="Q135">
        <v>183</v>
      </c>
      <c r="R135">
        <v>33</v>
      </c>
      <c r="S135">
        <v>474</v>
      </c>
      <c r="T135" t="s">
        <v>30</v>
      </c>
      <c r="U135" t="s">
        <v>30</v>
      </c>
      <c r="V135" t="s">
        <v>30</v>
      </c>
      <c r="W135" t="s">
        <v>30</v>
      </c>
      <c r="X135" t="s">
        <v>30</v>
      </c>
      <c r="Y135" t="s">
        <v>30</v>
      </c>
    </row>
    <row r="136" spans="1:25" x14ac:dyDescent="0.25">
      <c r="A136" t="s">
        <v>25</v>
      </c>
      <c r="B136" t="s">
        <v>26</v>
      </c>
      <c r="C136">
        <v>2024</v>
      </c>
      <c r="D136" s="1">
        <v>45478</v>
      </c>
      <c r="E136" s="2">
        <v>0</v>
      </c>
      <c r="F136" t="s">
        <v>34</v>
      </c>
      <c r="G136" t="s">
        <v>31</v>
      </c>
      <c r="H136">
        <v>1</v>
      </c>
      <c r="I136">
        <v>1</v>
      </c>
      <c r="J136" t="s">
        <v>29</v>
      </c>
      <c r="K136">
        <v>28</v>
      </c>
      <c r="L136">
        <v>307</v>
      </c>
      <c r="M136">
        <v>285</v>
      </c>
      <c r="N136">
        <v>284</v>
      </c>
      <c r="O136">
        <v>316</v>
      </c>
      <c r="P136">
        <v>285</v>
      </c>
      <c r="Q136">
        <v>272</v>
      </c>
      <c r="R136">
        <v>3</v>
      </c>
      <c r="S136">
        <v>277</v>
      </c>
      <c r="T136" t="s">
        <v>30</v>
      </c>
      <c r="U136" t="s">
        <v>30</v>
      </c>
      <c r="V136" t="s">
        <v>30</v>
      </c>
      <c r="W136" t="s">
        <v>30</v>
      </c>
      <c r="X136" t="s">
        <v>30</v>
      </c>
      <c r="Y136" t="s">
        <v>30</v>
      </c>
    </row>
    <row r="137" spans="1:25" x14ac:dyDescent="0.25">
      <c r="A137" t="s">
        <v>25</v>
      </c>
      <c r="B137" t="s">
        <v>26</v>
      </c>
      <c r="C137">
        <v>2024</v>
      </c>
      <c r="D137" s="1">
        <v>45480</v>
      </c>
      <c r="E137" s="2">
        <v>0</v>
      </c>
      <c r="F137" t="s">
        <v>42</v>
      </c>
      <c r="G137" t="s">
        <v>40</v>
      </c>
      <c r="H137">
        <v>1</v>
      </c>
      <c r="I137">
        <v>1</v>
      </c>
      <c r="J137" t="s">
        <v>29</v>
      </c>
      <c r="K137">
        <v>142</v>
      </c>
      <c r="L137">
        <v>453</v>
      </c>
      <c r="M137">
        <v>873</v>
      </c>
      <c r="N137">
        <v>146</v>
      </c>
      <c r="O137">
        <v>461</v>
      </c>
      <c r="P137">
        <v>9</v>
      </c>
      <c r="Q137">
        <v>141</v>
      </c>
      <c r="R137">
        <v>429</v>
      </c>
      <c r="S137">
        <v>812</v>
      </c>
      <c r="T137" t="s">
        <v>30</v>
      </c>
      <c r="U137" t="s">
        <v>30</v>
      </c>
      <c r="V137" t="s">
        <v>30</v>
      </c>
      <c r="W137" t="s">
        <v>30</v>
      </c>
      <c r="X137" t="s">
        <v>30</v>
      </c>
      <c r="Y137" t="s">
        <v>30</v>
      </c>
    </row>
    <row r="138" spans="1:25" x14ac:dyDescent="0.25">
      <c r="A138" t="s">
        <v>25</v>
      </c>
      <c r="B138" t="s">
        <v>26</v>
      </c>
      <c r="C138">
        <v>2024</v>
      </c>
      <c r="D138" s="1">
        <v>45480</v>
      </c>
      <c r="E138" s="2">
        <v>0</v>
      </c>
      <c r="F138" t="s">
        <v>36</v>
      </c>
      <c r="G138" t="s">
        <v>35</v>
      </c>
      <c r="H138">
        <v>2</v>
      </c>
      <c r="I138">
        <v>0</v>
      </c>
      <c r="J138" t="s">
        <v>33</v>
      </c>
      <c r="K138">
        <v>202</v>
      </c>
      <c r="L138">
        <v>332</v>
      </c>
      <c r="M138">
        <v>421</v>
      </c>
      <c r="N138">
        <v>202</v>
      </c>
      <c r="O138">
        <v>345</v>
      </c>
      <c r="P138">
        <v>44</v>
      </c>
      <c r="Q138">
        <v>195</v>
      </c>
      <c r="R138">
        <v>327</v>
      </c>
      <c r="S138">
        <v>408</v>
      </c>
      <c r="T138" t="s">
        <v>30</v>
      </c>
      <c r="U138" t="s">
        <v>30</v>
      </c>
      <c r="V138" t="s">
        <v>30</v>
      </c>
      <c r="W138" t="s">
        <v>30</v>
      </c>
      <c r="X138" t="s">
        <v>30</v>
      </c>
      <c r="Y138" t="s">
        <v>30</v>
      </c>
    </row>
    <row r="139" spans="1:25" x14ac:dyDescent="0.25">
      <c r="A139" t="s">
        <v>25</v>
      </c>
      <c r="B139" t="s">
        <v>26</v>
      </c>
      <c r="C139">
        <v>2024</v>
      </c>
      <c r="D139" s="1">
        <v>45480</v>
      </c>
      <c r="E139" s="2">
        <v>0.83333333333333326</v>
      </c>
      <c r="F139" t="s">
        <v>47</v>
      </c>
      <c r="G139" t="s">
        <v>43</v>
      </c>
      <c r="H139">
        <v>3</v>
      </c>
      <c r="I139">
        <v>0</v>
      </c>
      <c r="J139" t="s">
        <v>33</v>
      </c>
      <c r="K139">
        <v>184</v>
      </c>
      <c r="L139">
        <v>358</v>
      </c>
      <c r="M139">
        <v>471</v>
      </c>
      <c r="N139">
        <v>184</v>
      </c>
      <c r="O139">
        <v>381</v>
      </c>
      <c r="P139">
        <v>515</v>
      </c>
      <c r="Q139">
        <v>179</v>
      </c>
      <c r="R139">
        <v>354</v>
      </c>
      <c r="S139">
        <v>453</v>
      </c>
      <c r="T139" t="s">
        <v>30</v>
      </c>
      <c r="U139" t="s">
        <v>30</v>
      </c>
      <c r="V139" t="s">
        <v>30</v>
      </c>
      <c r="W139" t="s">
        <v>30</v>
      </c>
      <c r="X139" t="s">
        <v>30</v>
      </c>
      <c r="Y139" t="s">
        <v>30</v>
      </c>
    </row>
    <row r="140" spans="1:25" x14ac:dyDescent="0.25">
      <c r="A140" t="s">
        <v>25</v>
      </c>
      <c r="B140" t="s">
        <v>26</v>
      </c>
      <c r="C140">
        <v>2024</v>
      </c>
      <c r="D140" s="1">
        <v>45480</v>
      </c>
      <c r="E140" s="2">
        <v>0.83333333333333326</v>
      </c>
      <c r="F140" t="s">
        <v>37</v>
      </c>
      <c r="G140" t="s">
        <v>34</v>
      </c>
      <c r="H140">
        <v>1</v>
      </c>
      <c r="I140">
        <v>0</v>
      </c>
      <c r="J140" t="s">
        <v>33</v>
      </c>
      <c r="K140">
        <v>173</v>
      </c>
      <c r="L140">
        <v>363</v>
      </c>
      <c r="M140">
        <v>544</v>
      </c>
      <c r="N140">
        <v>177</v>
      </c>
      <c r="O140">
        <v>367</v>
      </c>
      <c r="P140">
        <v>544</v>
      </c>
      <c r="Q140">
        <v>172</v>
      </c>
      <c r="R140">
        <v>355</v>
      </c>
      <c r="S140">
        <v>505</v>
      </c>
      <c r="T140" t="s">
        <v>30</v>
      </c>
      <c r="U140" t="s">
        <v>30</v>
      </c>
      <c r="V140" t="s">
        <v>30</v>
      </c>
      <c r="W140" t="s">
        <v>30</v>
      </c>
      <c r="X140" t="s">
        <v>30</v>
      </c>
      <c r="Y140" t="s">
        <v>30</v>
      </c>
    </row>
    <row r="141" spans="1:25" x14ac:dyDescent="0.25">
      <c r="A141" t="s">
        <v>25</v>
      </c>
      <c r="B141" t="s">
        <v>26</v>
      </c>
      <c r="C141">
        <v>2024</v>
      </c>
      <c r="D141" s="1">
        <v>45480</v>
      </c>
      <c r="E141" s="2">
        <v>0.83333333333333326</v>
      </c>
      <c r="F141" t="s">
        <v>28</v>
      </c>
      <c r="G141" t="s">
        <v>46</v>
      </c>
      <c r="H141">
        <v>3</v>
      </c>
      <c r="I141">
        <v>0</v>
      </c>
      <c r="J141" t="s">
        <v>33</v>
      </c>
      <c r="K141">
        <v>272</v>
      </c>
      <c r="L141">
        <v>313</v>
      </c>
      <c r="M141">
        <v>289</v>
      </c>
      <c r="N141">
        <v>273</v>
      </c>
      <c r="O141">
        <v>331</v>
      </c>
      <c r="P141">
        <v>293</v>
      </c>
      <c r="Q141">
        <v>259</v>
      </c>
      <c r="R141">
        <v>314</v>
      </c>
      <c r="S141">
        <v>281</v>
      </c>
      <c r="T141" t="s">
        <v>30</v>
      </c>
      <c r="U141" t="s">
        <v>30</v>
      </c>
      <c r="V141" t="s">
        <v>30</v>
      </c>
      <c r="W141" t="s">
        <v>30</v>
      </c>
      <c r="X141" t="s">
        <v>30</v>
      </c>
      <c r="Y141" t="s">
        <v>30</v>
      </c>
    </row>
    <row r="142" spans="1:25" x14ac:dyDescent="0.25">
      <c r="A142" t="s">
        <v>25</v>
      </c>
      <c r="B142" t="s">
        <v>26</v>
      </c>
      <c r="C142">
        <v>2024</v>
      </c>
      <c r="D142" s="1">
        <v>45480</v>
      </c>
      <c r="E142" s="2">
        <v>0.91666666666666663</v>
      </c>
      <c r="F142" t="s">
        <v>31</v>
      </c>
      <c r="G142" t="s">
        <v>45</v>
      </c>
      <c r="H142">
        <v>1</v>
      </c>
      <c r="I142">
        <v>2</v>
      </c>
      <c r="J142" t="s">
        <v>38</v>
      </c>
      <c r="K142">
        <v>169</v>
      </c>
      <c r="L142">
        <v>365</v>
      </c>
      <c r="M142">
        <v>586</v>
      </c>
      <c r="N142">
        <v>174</v>
      </c>
      <c r="O142">
        <v>38</v>
      </c>
      <c r="P142">
        <v>65</v>
      </c>
      <c r="Q142">
        <v>167</v>
      </c>
      <c r="R142">
        <v>357</v>
      </c>
      <c r="S142">
        <v>554</v>
      </c>
      <c r="T142" t="s">
        <v>30</v>
      </c>
      <c r="U142" t="s">
        <v>30</v>
      </c>
      <c r="V142" t="s">
        <v>30</v>
      </c>
      <c r="W142" t="s">
        <v>30</v>
      </c>
      <c r="X142" t="s">
        <v>30</v>
      </c>
      <c r="Y142" t="s">
        <v>30</v>
      </c>
    </row>
    <row r="143" spans="1:25" x14ac:dyDescent="0.25">
      <c r="A143" t="s">
        <v>25</v>
      </c>
      <c r="B143" t="s">
        <v>26</v>
      </c>
      <c r="C143">
        <v>2024</v>
      </c>
      <c r="D143" s="1">
        <v>45480</v>
      </c>
      <c r="E143" s="2">
        <v>0.9375</v>
      </c>
      <c r="F143" t="s">
        <v>41</v>
      </c>
      <c r="G143" t="s">
        <v>39</v>
      </c>
      <c r="H143">
        <v>1</v>
      </c>
      <c r="I143">
        <v>2</v>
      </c>
      <c r="J143" t="s">
        <v>38</v>
      </c>
      <c r="K143">
        <v>196</v>
      </c>
      <c r="L143">
        <v>344</v>
      </c>
      <c r="M143">
        <v>426</v>
      </c>
      <c r="N143">
        <v>201</v>
      </c>
      <c r="O143">
        <v>35</v>
      </c>
      <c r="P143">
        <v>445</v>
      </c>
      <c r="Q143">
        <v>194</v>
      </c>
      <c r="R143">
        <v>336</v>
      </c>
      <c r="S143">
        <v>402</v>
      </c>
      <c r="T143" t="s">
        <v>30</v>
      </c>
      <c r="U143" t="s">
        <v>30</v>
      </c>
      <c r="V143" t="s">
        <v>30</v>
      </c>
      <c r="W143" t="s">
        <v>30</v>
      </c>
      <c r="X143" t="s">
        <v>30</v>
      </c>
      <c r="Y143" t="s">
        <v>30</v>
      </c>
    </row>
    <row r="144" spans="1:25" x14ac:dyDescent="0.25">
      <c r="A144" t="s">
        <v>25</v>
      </c>
      <c r="B144" t="s">
        <v>26</v>
      </c>
      <c r="C144">
        <v>2024</v>
      </c>
      <c r="D144" s="1">
        <v>45480</v>
      </c>
      <c r="E144" s="2">
        <v>0.9375</v>
      </c>
      <c r="F144" t="s">
        <v>50</v>
      </c>
      <c r="G144" t="s">
        <v>32</v>
      </c>
      <c r="H144">
        <v>2</v>
      </c>
      <c r="I144">
        <v>0</v>
      </c>
      <c r="J144" t="s">
        <v>33</v>
      </c>
      <c r="K144">
        <v>167</v>
      </c>
      <c r="L144">
        <v>422</v>
      </c>
      <c r="M144">
        <v>494</v>
      </c>
      <c r="N144">
        <v>169</v>
      </c>
      <c r="O144">
        <v>43</v>
      </c>
      <c r="P144">
        <v>5</v>
      </c>
      <c r="Q144">
        <v>166</v>
      </c>
      <c r="R144">
        <v>407</v>
      </c>
      <c r="S144">
        <v>472</v>
      </c>
      <c r="T144" t="s">
        <v>30</v>
      </c>
      <c r="U144" t="s">
        <v>30</v>
      </c>
      <c r="V144" t="s">
        <v>30</v>
      </c>
      <c r="W144" t="s">
        <v>30</v>
      </c>
      <c r="X144" t="s">
        <v>30</v>
      </c>
      <c r="Y144" t="s">
        <v>30</v>
      </c>
    </row>
    <row r="145" spans="1:25" x14ac:dyDescent="0.25">
      <c r="A145" t="s">
        <v>25</v>
      </c>
      <c r="B145" t="s">
        <v>26</v>
      </c>
      <c r="C145">
        <v>2024</v>
      </c>
      <c r="D145" s="1">
        <v>45480</v>
      </c>
      <c r="E145" s="2">
        <v>0.9375</v>
      </c>
      <c r="F145" t="s">
        <v>49</v>
      </c>
      <c r="G145" t="s">
        <v>27</v>
      </c>
      <c r="H145">
        <v>2</v>
      </c>
      <c r="I145">
        <v>1</v>
      </c>
      <c r="J145" t="s">
        <v>33</v>
      </c>
      <c r="K145">
        <v>224</v>
      </c>
      <c r="L145">
        <v>321</v>
      </c>
      <c r="M145">
        <v>364</v>
      </c>
      <c r="N145">
        <v>228</v>
      </c>
      <c r="O145">
        <v>325</v>
      </c>
      <c r="P145">
        <v>378</v>
      </c>
      <c r="Q145">
        <v>217</v>
      </c>
      <c r="R145">
        <v>315</v>
      </c>
      <c r="S145">
        <v>355</v>
      </c>
      <c r="T145" t="s">
        <v>30</v>
      </c>
      <c r="U145" t="s">
        <v>30</v>
      </c>
      <c r="V145" t="s">
        <v>30</v>
      </c>
      <c r="W145" t="s">
        <v>30</v>
      </c>
      <c r="X145" t="s">
        <v>30</v>
      </c>
      <c r="Y145" t="s">
        <v>30</v>
      </c>
    </row>
    <row r="146" spans="1:25" x14ac:dyDescent="0.25">
      <c r="A146" t="s">
        <v>25</v>
      </c>
      <c r="B146" t="s">
        <v>26</v>
      </c>
      <c r="C146">
        <v>2024</v>
      </c>
      <c r="D146" s="1">
        <v>45481</v>
      </c>
      <c r="E146" s="2">
        <v>2.0833333333333332E-2</v>
      </c>
      <c r="F146" t="s">
        <v>48</v>
      </c>
      <c r="G146" t="s">
        <v>44</v>
      </c>
      <c r="H146">
        <v>3</v>
      </c>
      <c r="I146">
        <v>0</v>
      </c>
      <c r="J146" t="s">
        <v>33</v>
      </c>
      <c r="K146">
        <v>2</v>
      </c>
      <c r="L146">
        <v>345</v>
      </c>
      <c r="M146">
        <v>409</v>
      </c>
      <c r="N146">
        <v>205</v>
      </c>
      <c r="O146">
        <v>364</v>
      </c>
      <c r="P146">
        <v>41</v>
      </c>
      <c r="Q146">
        <v>196</v>
      </c>
      <c r="R146">
        <v>34</v>
      </c>
      <c r="S146">
        <v>388</v>
      </c>
      <c r="T146" t="s">
        <v>30</v>
      </c>
      <c r="U146" t="s">
        <v>30</v>
      </c>
      <c r="V146" t="s">
        <v>30</v>
      </c>
      <c r="W146" t="s">
        <v>30</v>
      </c>
      <c r="X146" t="s">
        <v>30</v>
      </c>
      <c r="Y146" t="s">
        <v>30</v>
      </c>
    </row>
    <row r="147" spans="1:25" x14ac:dyDescent="0.25">
      <c r="A147" t="s">
        <v>25</v>
      </c>
      <c r="B147" t="s">
        <v>26</v>
      </c>
      <c r="C147">
        <v>2024</v>
      </c>
      <c r="D147" s="1">
        <v>45483</v>
      </c>
      <c r="E147" s="2">
        <v>0.9375</v>
      </c>
      <c r="F147" t="s">
        <v>46</v>
      </c>
      <c r="G147" t="s">
        <v>47</v>
      </c>
      <c r="H147">
        <v>0</v>
      </c>
      <c r="I147">
        <v>2</v>
      </c>
      <c r="J147" t="s">
        <v>38</v>
      </c>
      <c r="K147">
        <v>259</v>
      </c>
      <c r="L147">
        <v>324</v>
      </c>
      <c r="M147">
        <v>297</v>
      </c>
      <c r="N147">
        <v>26</v>
      </c>
      <c r="O147">
        <v>338</v>
      </c>
      <c r="P147">
        <v>3</v>
      </c>
      <c r="Q147">
        <v>252</v>
      </c>
      <c r="R147">
        <v>318</v>
      </c>
      <c r="S147">
        <v>288</v>
      </c>
      <c r="T147" t="s">
        <v>51</v>
      </c>
      <c r="U147" t="s">
        <v>52</v>
      </c>
      <c r="V147" t="s">
        <v>53</v>
      </c>
      <c r="W147" t="s">
        <v>30</v>
      </c>
      <c r="X147" t="s">
        <v>30</v>
      </c>
      <c r="Y147" t="s">
        <v>30</v>
      </c>
    </row>
    <row r="148" spans="1:25" x14ac:dyDescent="0.25">
      <c r="A148" t="s">
        <v>25</v>
      </c>
      <c r="B148" t="s">
        <v>26</v>
      </c>
      <c r="C148">
        <v>2024</v>
      </c>
      <c r="D148" s="1">
        <v>45483</v>
      </c>
      <c r="E148" s="2">
        <v>0.95833333333333326</v>
      </c>
      <c r="F148" t="s">
        <v>39</v>
      </c>
      <c r="G148" t="s">
        <v>32</v>
      </c>
      <c r="H148">
        <v>1</v>
      </c>
      <c r="I148">
        <v>3</v>
      </c>
      <c r="J148" t="s">
        <v>38</v>
      </c>
      <c r="K148">
        <v>235</v>
      </c>
      <c r="L148">
        <v>337</v>
      </c>
      <c r="M148">
        <v>322</v>
      </c>
      <c r="N148">
        <v>24</v>
      </c>
      <c r="O148">
        <v>345</v>
      </c>
      <c r="P148">
        <v>33</v>
      </c>
      <c r="Q148">
        <v>229</v>
      </c>
      <c r="R148">
        <v>331</v>
      </c>
      <c r="S148">
        <v>316</v>
      </c>
      <c r="T148" t="s">
        <v>54</v>
      </c>
      <c r="U148" t="s">
        <v>55</v>
      </c>
      <c r="V148" t="s">
        <v>56</v>
      </c>
      <c r="W148" t="s">
        <v>30</v>
      </c>
      <c r="X148" t="s">
        <v>30</v>
      </c>
      <c r="Y148" t="s">
        <v>30</v>
      </c>
    </row>
    <row r="149" spans="1:25" x14ac:dyDescent="0.25">
      <c r="A149" t="s">
        <v>25</v>
      </c>
      <c r="B149" t="s">
        <v>26</v>
      </c>
      <c r="C149">
        <v>2024</v>
      </c>
      <c r="D149" s="1">
        <v>45483</v>
      </c>
      <c r="E149" s="2">
        <v>0.95833333333333326</v>
      </c>
      <c r="F149" t="s">
        <v>45</v>
      </c>
      <c r="G149" t="s">
        <v>43</v>
      </c>
      <c r="H149">
        <v>2</v>
      </c>
      <c r="I149">
        <v>0</v>
      </c>
      <c r="J149" t="s">
        <v>33</v>
      </c>
      <c r="K149">
        <v>223</v>
      </c>
      <c r="L149">
        <v>321</v>
      </c>
      <c r="M149">
        <v>366</v>
      </c>
      <c r="N149">
        <v>242</v>
      </c>
      <c r="O149">
        <v>325</v>
      </c>
      <c r="P149">
        <v>366</v>
      </c>
      <c r="Q149">
        <v>228</v>
      </c>
      <c r="R149">
        <v>313</v>
      </c>
      <c r="S149">
        <v>335</v>
      </c>
      <c r="T149" t="s">
        <v>54</v>
      </c>
      <c r="U149" t="s">
        <v>57</v>
      </c>
      <c r="V149" t="s">
        <v>58</v>
      </c>
      <c r="W149" t="s">
        <v>30</v>
      </c>
      <c r="X149" t="s">
        <v>30</v>
      </c>
      <c r="Y149" t="s">
        <v>30</v>
      </c>
    </row>
    <row r="150" spans="1:25" x14ac:dyDescent="0.25">
      <c r="A150" t="s">
        <v>25</v>
      </c>
      <c r="B150" t="s">
        <v>26</v>
      </c>
      <c r="C150">
        <v>2024</v>
      </c>
      <c r="D150" s="1">
        <v>45484</v>
      </c>
      <c r="E150" s="2">
        <v>0.97916666666666663</v>
      </c>
      <c r="F150" t="s">
        <v>50</v>
      </c>
      <c r="G150" t="s">
        <v>41</v>
      </c>
      <c r="H150">
        <v>3</v>
      </c>
      <c r="I150">
        <v>1</v>
      </c>
      <c r="J150" t="s">
        <v>33</v>
      </c>
      <c r="K150">
        <v>138</v>
      </c>
      <c r="L150">
        <v>491</v>
      </c>
      <c r="M150">
        <v>924</v>
      </c>
      <c r="N150">
        <v>141</v>
      </c>
      <c r="O150">
        <v>495</v>
      </c>
      <c r="P150">
        <v>10</v>
      </c>
      <c r="Q150">
        <v>137</v>
      </c>
      <c r="R150">
        <v>477</v>
      </c>
      <c r="S150">
        <v>859</v>
      </c>
      <c r="T150" t="s">
        <v>59</v>
      </c>
      <c r="U150" t="s">
        <v>60</v>
      </c>
      <c r="V150" t="s">
        <v>61</v>
      </c>
      <c r="W150" t="s">
        <v>30</v>
      </c>
      <c r="X150" t="s">
        <v>30</v>
      </c>
      <c r="Y150" t="s">
        <v>30</v>
      </c>
    </row>
    <row r="151" spans="1:25" x14ac:dyDescent="0.25">
      <c r="A151" t="s">
        <v>25</v>
      </c>
      <c r="B151" t="s">
        <v>26</v>
      </c>
      <c r="C151">
        <v>2024</v>
      </c>
      <c r="D151" s="1">
        <v>45485</v>
      </c>
      <c r="E151" s="2">
        <v>0</v>
      </c>
      <c r="F151" t="s">
        <v>27</v>
      </c>
      <c r="G151" t="s">
        <v>34</v>
      </c>
      <c r="H151">
        <v>1</v>
      </c>
      <c r="I151">
        <v>1</v>
      </c>
      <c r="J151" t="s">
        <v>29</v>
      </c>
      <c r="K151">
        <v>203</v>
      </c>
      <c r="L151">
        <v>339</v>
      </c>
      <c r="M151">
        <v>406</v>
      </c>
      <c r="N151">
        <v>208</v>
      </c>
      <c r="O151">
        <v>341</v>
      </c>
      <c r="P151">
        <v>44</v>
      </c>
      <c r="Q151">
        <v>2</v>
      </c>
      <c r="R151">
        <v>328</v>
      </c>
      <c r="S151">
        <v>398</v>
      </c>
      <c r="T151" t="s">
        <v>62</v>
      </c>
      <c r="U151" t="s">
        <v>56</v>
      </c>
      <c r="V151" t="s">
        <v>63</v>
      </c>
      <c r="W151" t="s">
        <v>30</v>
      </c>
      <c r="X151" t="s">
        <v>30</v>
      </c>
      <c r="Y151" t="s">
        <v>30</v>
      </c>
    </row>
    <row r="152" spans="1:25" x14ac:dyDescent="0.25">
      <c r="A152" t="s">
        <v>25</v>
      </c>
      <c r="B152" t="s">
        <v>26</v>
      </c>
      <c r="C152">
        <v>2024</v>
      </c>
      <c r="D152" s="1">
        <v>45485</v>
      </c>
      <c r="E152" s="2">
        <v>0</v>
      </c>
      <c r="F152" t="s">
        <v>42</v>
      </c>
      <c r="G152" t="s">
        <v>37</v>
      </c>
      <c r="H152">
        <v>1</v>
      </c>
      <c r="I152">
        <v>2</v>
      </c>
      <c r="J152" t="s">
        <v>38</v>
      </c>
      <c r="K152">
        <v>161</v>
      </c>
      <c r="L152">
        <v>384</v>
      </c>
      <c r="M152">
        <v>635</v>
      </c>
      <c r="N152">
        <v>165</v>
      </c>
      <c r="O152">
        <v>4</v>
      </c>
      <c r="P152">
        <v>635</v>
      </c>
      <c r="Q152">
        <v>16</v>
      </c>
      <c r="R152">
        <v>38</v>
      </c>
      <c r="S152">
        <v>589</v>
      </c>
      <c r="T152" t="s">
        <v>64</v>
      </c>
      <c r="U152" t="s">
        <v>65</v>
      </c>
      <c r="V152" t="s">
        <v>66</v>
      </c>
      <c r="W152" t="s">
        <v>30</v>
      </c>
      <c r="X152" t="s">
        <v>30</v>
      </c>
      <c r="Y152" t="s">
        <v>30</v>
      </c>
    </row>
    <row r="153" spans="1:25" x14ac:dyDescent="0.25">
      <c r="A153" t="s">
        <v>25</v>
      </c>
      <c r="B153" t="s">
        <v>26</v>
      </c>
      <c r="C153">
        <v>2024</v>
      </c>
      <c r="D153" s="1">
        <v>45485</v>
      </c>
      <c r="E153" s="2">
        <v>6.25E-2</v>
      </c>
      <c r="F153" t="s">
        <v>44</v>
      </c>
      <c r="G153" t="s">
        <v>36</v>
      </c>
      <c r="H153">
        <v>2</v>
      </c>
      <c r="I153">
        <v>1</v>
      </c>
      <c r="J153" t="s">
        <v>33</v>
      </c>
      <c r="K153">
        <v>252</v>
      </c>
      <c r="L153">
        <v>313</v>
      </c>
      <c r="M153">
        <v>315</v>
      </c>
      <c r="N153">
        <v>26</v>
      </c>
      <c r="O153">
        <v>32</v>
      </c>
      <c r="P153">
        <v>317</v>
      </c>
      <c r="Q153">
        <v>248</v>
      </c>
      <c r="R153">
        <v>307</v>
      </c>
      <c r="S153">
        <v>306</v>
      </c>
      <c r="T153" t="s">
        <v>67</v>
      </c>
      <c r="U153" t="s">
        <v>68</v>
      </c>
      <c r="V153" t="s">
        <v>52</v>
      </c>
      <c r="W153" t="s">
        <v>30</v>
      </c>
      <c r="X153" t="s">
        <v>30</v>
      </c>
      <c r="Y153" t="s">
        <v>30</v>
      </c>
    </row>
    <row r="154" spans="1:25" x14ac:dyDescent="0.25">
      <c r="A154" t="s">
        <v>25</v>
      </c>
      <c r="B154" t="s">
        <v>26</v>
      </c>
      <c r="C154">
        <v>2024</v>
      </c>
      <c r="D154" s="1">
        <v>45485</v>
      </c>
      <c r="E154" s="2">
        <v>6.25E-2</v>
      </c>
      <c r="F154" t="s">
        <v>49</v>
      </c>
      <c r="G154" t="s">
        <v>48</v>
      </c>
      <c r="H154">
        <v>0</v>
      </c>
      <c r="I154">
        <v>1</v>
      </c>
      <c r="J154" t="s">
        <v>38</v>
      </c>
      <c r="K154">
        <v>313</v>
      </c>
      <c r="L154">
        <v>309</v>
      </c>
      <c r="M154">
        <v>256</v>
      </c>
      <c r="N154">
        <v>335</v>
      </c>
      <c r="O154">
        <v>309</v>
      </c>
      <c r="P154">
        <v>262</v>
      </c>
      <c r="Q154">
        <v>309</v>
      </c>
      <c r="R154">
        <v>3</v>
      </c>
      <c r="S154">
        <v>251</v>
      </c>
      <c r="T154" t="s">
        <v>68</v>
      </c>
      <c r="U154" t="s">
        <v>69</v>
      </c>
      <c r="V154" t="s">
        <v>51</v>
      </c>
      <c r="W154" t="s">
        <v>30</v>
      </c>
      <c r="X154" t="s">
        <v>30</v>
      </c>
      <c r="Y154" t="s">
        <v>30</v>
      </c>
    </row>
    <row r="155" spans="1:25" x14ac:dyDescent="0.25">
      <c r="A155" t="s">
        <v>25</v>
      </c>
      <c r="B155" t="s">
        <v>26</v>
      </c>
      <c r="C155">
        <v>2024</v>
      </c>
      <c r="D155" s="1">
        <v>45486</v>
      </c>
      <c r="E155" s="2">
        <v>0.83333333333333326</v>
      </c>
      <c r="F155" t="s">
        <v>32</v>
      </c>
      <c r="G155" t="s">
        <v>40</v>
      </c>
      <c r="H155">
        <v>1</v>
      </c>
      <c r="I155">
        <v>2</v>
      </c>
      <c r="J155" t="s">
        <v>38</v>
      </c>
      <c r="K155">
        <v>167</v>
      </c>
      <c r="L155">
        <v>365</v>
      </c>
      <c r="M155">
        <v>612</v>
      </c>
      <c r="N155">
        <v>171</v>
      </c>
      <c r="O155">
        <v>372</v>
      </c>
      <c r="P155">
        <v>623</v>
      </c>
      <c r="Q155">
        <v>165</v>
      </c>
      <c r="R155">
        <v>359</v>
      </c>
      <c r="S155">
        <v>571</v>
      </c>
      <c r="T155" t="s">
        <v>70</v>
      </c>
      <c r="U155" t="s">
        <v>71</v>
      </c>
      <c r="V155" t="s">
        <v>66</v>
      </c>
      <c r="W155" t="s">
        <v>30</v>
      </c>
      <c r="X155" t="s">
        <v>30</v>
      </c>
      <c r="Y155" t="s">
        <v>30</v>
      </c>
    </row>
    <row r="156" spans="1:25" x14ac:dyDescent="0.25">
      <c r="A156" t="s">
        <v>25</v>
      </c>
      <c r="B156" t="s">
        <v>26</v>
      </c>
      <c r="C156">
        <v>2024</v>
      </c>
      <c r="D156" s="1">
        <v>45486</v>
      </c>
      <c r="E156" s="2">
        <v>0.83333333333333326</v>
      </c>
      <c r="F156" t="s">
        <v>47</v>
      </c>
      <c r="G156" t="s">
        <v>35</v>
      </c>
      <c r="H156">
        <v>2</v>
      </c>
      <c r="I156">
        <v>1</v>
      </c>
      <c r="J156" t="s">
        <v>33</v>
      </c>
      <c r="K156">
        <v>214</v>
      </c>
      <c r="L156">
        <v>336</v>
      </c>
      <c r="M156">
        <v>372</v>
      </c>
      <c r="N156">
        <v>22</v>
      </c>
      <c r="O156">
        <v>34</v>
      </c>
      <c r="P156">
        <v>39</v>
      </c>
      <c r="Q156">
        <v>208</v>
      </c>
      <c r="R156">
        <v>332</v>
      </c>
      <c r="S156">
        <v>362</v>
      </c>
      <c r="T156" t="s">
        <v>72</v>
      </c>
      <c r="U156" t="s">
        <v>55</v>
      </c>
      <c r="V156" t="s">
        <v>65</v>
      </c>
      <c r="W156" t="s">
        <v>30</v>
      </c>
      <c r="X156" t="s">
        <v>30</v>
      </c>
      <c r="Y156" t="s">
        <v>30</v>
      </c>
    </row>
    <row r="157" spans="1:25" x14ac:dyDescent="0.25">
      <c r="A157" t="s">
        <v>25</v>
      </c>
      <c r="B157" t="s">
        <v>26</v>
      </c>
      <c r="C157">
        <v>2024</v>
      </c>
      <c r="D157" s="1">
        <v>45489</v>
      </c>
      <c r="E157" s="2">
        <v>0.95833333333333326</v>
      </c>
      <c r="F157" t="s">
        <v>28</v>
      </c>
      <c r="G157" t="s">
        <v>44</v>
      </c>
      <c r="H157">
        <v>1</v>
      </c>
      <c r="I157">
        <v>1</v>
      </c>
      <c r="J157" t="s">
        <v>29</v>
      </c>
      <c r="K157">
        <v>416</v>
      </c>
      <c r="L157">
        <v>361</v>
      </c>
      <c r="M157">
        <v>193</v>
      </c>
      <c r="N157">
        <v>416</v>
      </c>
      <c r="O157">
        <v>361</v>
      </c>
      <c r="P157">
        <v>21</v>
      </c>
      <c r="Q157">
        <v>398</v>
      </c>
      <c r="R157">
        <v>348</v>
      </c>
      <c r="S157">
        <v>193</v>
      </c>
      <c r="T157" t="s">
        <v>73</v>
      </c>
      <c r="U157" t="s">
        <v>74</v>
      </c>
      <c r="V157" t="s">
        <v>75</v>
      </c>
      <c r="W157" t="s">
        <v>30</v>
      </c>
      <c r="X157" t="s">
        <v>30</v>
      </c>
      <c r="Y157" t="s">
        <v>30</v>
      </c>
    </row>
    <row r="158" spans="1:25" x14ac:dyDescent="0.25">
      <c r="A158" t="s">
        <v>25</v>
      </c>
      <c r="B158" t="s">
        <v>26</v>
      </c>
      <c r="C158">
        <v>2024</v>
      </c>
      <c r="D158" s="1">
        <v>45490</v>
      </c>
      <c r="E158" s="2">
        <v>4.1666666666666664E-2</v>
      </c>
      <c r="F158" t="s">
        <v>43</v>
      </c>
      <c r="G158" t="s">
        <v>27</v>
      </c>
      <c r="H158">
        <v>2</v>
      </c>
      <c r="I158">
        <v>1</v>
      </c>
      <c r="J158" t="s">
        <v>33</v>
      </c>
      <c r="K158">
        <v>179</v>
      </c>
      <c r="L158">
        <v>36</v>
      </c>
      <c r="M158">
        <v>502</v>
      </c>
      <c r="N158">
        <v>181</v>
      </c>
      <c r="O158">
        <v>368</v>
      </c>
      <c r="P158">
        <v>502</v>
      </c>
      <c r="Q158">
        <v>178</v>
      </c>
      <c r="R158">
        <v>354</v>
      </c>
      <c r="S158">
        <v>468</v>
      </c>
      <c r="T158" t="s">
        <v>76</v>
      </c>
      <c r="U158" t="s">
        <v>77</v>
      </c>
      <c r="V158" t="s">
        <v>78</v>
      </c>
      <c r="W158" t="s">
        <v>30</v>
      </c>
      <c r="X158" t="s">
        <v>30</v>
      </c>
      <c r="Y158" t="s">
        <v>30</v>
      </c>
    </row>
    <row r="159" spans="1:25" x14ac:dyDescent="0.25">
      <c r="A159" t="s">
        <v>25</v>
      </c>
      <c r="B159" t="s">
        <v>26</v>
      </c>
      <c r="C159">
        <v>2024</v>
      </c>
      <c r="D159" s="1">
        <v>45490</v>
      </c>
      <c r="E159" s="2">
        <v>0.95833333333333326</v>
      </c>
      <c r="F159" t="s">
        <v>41</v>
      </c>
      <c r="G159" t="s">
        <v>45</v>
      </c>
      <c r="H159">
        <v>0</v>
      </c>
      <c r="I159">
        <v>1</v>
      </c>
      <c r="J159" t="s">
        <v>38</v>
      </c>
      <c r="K159">
        <v>227</v>
      </c>
      <c r="L159">
        <v>326</v>
      </c>
      <c r="M159">
        <v>35</v>
      </c>
      <c r="N159">
        <v>23</v>
      </c>
      <c r="O159">
        <v>338</v>
      </c>
      <c r="P159">
        <v>355</v>
      </c>
      <c r="Q159">
        <v>222</v>
      </c>
      <c r="R159">
        <v>32</v>
      </c>
      <c r="S159">
        <v>338</v>
      </c>
      <c r="T159" t="s">
        <v>79</v>
      </c>
      <c r="U159" t="s">
        <v>80</v>
      </c>
      <c r="V159" t="s">
        <v>81</v>
      </c>
      <c r="W159" t="s">
        <v>30</v>
      </c>
      <c r="X159" t="s">
        <v>30</v>
      </c>
      <c r="Y159" t="s">
        <v>30</v>
      </c>
    </row>
    <row r="160" spans="1:25" x14ac:dyDescent="0.25">
      <c r="A160" t="s">
        <v>25</v>
      </c>
      <c r="B160" t="s">
        <v>26</v>
      </c>
      <c r="C160">
        <v>2024</v>
      </c>
      <c r="D160" s="1">
        <v>45491</v>
      </c>
      <c r="E160" s="2">
        <v>0</v>
      </c>
      <c r="F160" t="s">
        <v>36</v>
      </c>
      <c r="G160" t="s">
        <v>46</v>
      </c>
      <c r="H160">
        <v>1</v>
      </c>
      <c r="I160">
        <v>0</v>
      </c>
      <c r="J160" t="s">
        <v>33</v>
      </c>
      <c r="K160">
        <v>157</v>
      </c>
      <c r="L160">
        <v>384</v>
      </c>
      <c r="M160">
        <v>708</v>
      </c>
      <c r="N160">
        <v>16</v>
      </c>
      <c r="O160">
        <v>39</v>
      </c>
      <c r="P160">
        <v>708</v>
      </c>
      <c r="Q160">
        <v>156</v>
      </c>
      <c r="R160">
        <v>378</v>
      </c>
      <c r="S160">
        <v>654</v>
      </c>
      <c r="T160" t="s">
        <v>82</v>
      </c>
      <c r="U160" t="s">
        <v>83</v>
      </c>
      <c r="V160" t="s">
        <v>84</v>
      </c>
      <c r="W160" t="s">
        <v>30</v>
      </c>
      <c r="X160" t="s">
        <v>30</v>
      </c>
      <c r="Y160" t="s">
        <v>30</v>
      </c>
    </row>
    <row r="161" spans="1:25" x14ac:dyDescent="0.25">
      <c r="A161" t="s">
        <v>25</v>
      </c>
      <c r="B161" t="s">
        <v>26</v>
      </c>
      <c r="C161">
        <v>2024</v>
      </c>
      <c r="D161" s="1">
        <v>45491</v>
      </c>
      <c r="E161" s="2">
        <v>6.25E-2</v>
      </c>
      <c r="F161" t="s">
        <v>48</v>
      </c>
      <c r="G161" t="s">
        <v>50</v>
      </c>
      <c r="H161">
        <v>1</v>
      </c>
      <c r="I161">
        <v>0</v>
      </c>
      <c r="J161" t="s">
        <v>33</v>
      </c>
      <c r="K161">
        <v>291</v>
      </c>
      <c r="L161">
        <v>328</v>
      </c>
      <c r="M161">
        <v>26</v>
      </c>
      <c r="N161">
        <v>291</v>
      </c>
      <c r="O161">
        <v>333</v>
      </c>
      <c r="P161">
        <v>265</v>
      </c>
      <c r="Q161">
        <v>279</v>
      </c>
      <c r="R161">
        <v>323</v>
      </c>
      <c r="S161">
        <v>256</v>
      </c>
      <c r="T161" t="s">
        <v>85</v>
      </c>
      <c r="U161" t="s">
        <v>80</v>
      </c>
      <c r="V161" t="s">
        <v>86</v>
      </c>
      <c r="W161" t="s">
        <v>30</v>
      </c>
      <c r="X161" t="s">
        <v>30</v>
      </c>
      <c r="Y161" t="s">
        <v>30</v>
      </c>
    </row>
    <row r="162" spans="1:25" x14ac:dyDescent="0.25">
      <c r="A162" t="s">
        <v>25</v>
      </c>
      <c r="B162" t="s">
        <v>26</v>
      </c>
      <c r="C162">
        <v>2024</v>
      </c>
      <c r="D162" s="1">
        <v>45491</v>
      </c>
      <c r="E162" s="2">
        <v>6.25E-2</v>
      </c>
      <c r="F162" t="s">
        <v>37</v>
      </c>
      <c r="G162" t="s">
        <v>49</v>
      </c>
      <c r="H162">
        <v>3</v>
      </c>
      <c r="I162">
        <v>1</v>
      </c>
      <c r="J162" t="s">
        <v>33</v>
      </c>
      <c r="K162">
        <v>166</v>
      </c>
      <c r="L162">
        <v>377</v>
      </c>
      <c r="M162">
        <v>592</v>
      </c>
      <c r="N162">
        <v>168</v>
      </c>
      <c r="O162">
        <v>39</v>
      </c>
      <c r="P162">
        <v>62</v>
      </c>
      <c r="Q162">
        <v>162</v>
      </c>
      <c r="R162">
        <v>375</v>
      </c>
      <c r="S162">
        <v>566</v>
      </c>
      <c r="T162" t="s">
        <v>87</v>
      </c>
      <c r="U162" t="s">
        <v>71</v>
      </c>
      <c r="V162" t="s">
        <v>88</v>
      </c>
      <c r="W162" t="s">
        <v>30</v>
      </c>
      <c r="X162" t="s">
        <v>30</v>
      </c>
      <c r="Y162" t="s">
        <v>30</v>
      </c>
    </row>
    <row r="163" spans="1:25" x14ac:dyDescent="0.25">
      <c r="A163" t="s">
        <v>25</v>
      </c>
      <c r="B163" t="s">
        <v>26</v>
      </c>
      <c r="C163">
        <v>2024</v>
      </c>
      <c r="D163" s="1">
        <v>45493</v>
      </c>
      <c r="E163" s="2">
        <v>0.83333333333333326</v>
      </c>
      <c r="F163" t="s">
        <v>42</v>
      </c>
      <c r="G163" t="s">
        <v>27</v>
      </c>
      <c r="H163">
        <v>2</v>
      </c>
      <c r="I163">
        <v>1</v>
      </c>
      <c r="J163" t="s">
        <v>33</v>
      </c>
      <c r="K163">
        <v>142</v>
      </c>
      <c r="L163">
        <v>462</v>
      </c>
      <c r="M163">
        <v>839</v>
      </c>
      <c r="N163">
        <v>142</v>
      </c>
      <c r="O163">
        <v>481</v>
      </c>
      <c r="P163">
        <v>839</v>
      </c>
      <c r="Q163">
        <v>14</v>
      </c>
      <c r="R163">
        <v>458</v>
      </c>
      <c r="S163">
        <v>79</v>
      </c>
      <c r="T163" t="s">
        <v>89</v>
      </c>
      <c r="U163" t="s">
        <v>90</v>
      </c>
      <c r="V163" t="s">
        <v>91</v>
      </c>
      <c r="W163" t="s">
        <v>30</v>
      </c>
      <c r="X163" t="s">
        <v>30</v>
      </c>
      <c r="Y163" t="s">
        <v>30</v>
      </c>
    </row>
    <row r="164" spans="1:25" x14ac:dyDescent="0.25">
      <c r="A164" t="s">
        <v>25</v>
      </c>
      <c r="B164" t="s">
        <v>26</v>
      </c>
      <c r="C164">
        <v>2024</v>
      </c>
      <c r="D164" s="1">
        <v>45493</v>
      </c>
      <c r="E164" s="2">
        <v>0.9375</v>
      </c>
      <c r="F164" t="s">
        <v>48</v>
      </c>
      <c r="G164" t="s">
        <v>31</v>
      </c>
      <c r="H164">
        <v>1</v>
      </c>
      <c r="I164">
        <v>0</v>
      </c>
      <c r="J164" t="s">
        <v>33</v>
      </c>
      <c r="K164">
        <v>194</v>
      </c>
      <c r="L164">
        <v>329</v>
      </c>
      <c r="M164">
        <v>46</v>
      </c>
      <c r="N164">
        <v>2</v>
      </c>
      <c r="O164">
        <v>337</v>
      </c>
      <c r="P164">
        <v>495</v>
      </c>
      <c r="Q164">
        <v>191</v>
      </c>
      <c r="R164">
        <v>326</v>
      </c>
      <c r="S164">
        <v>443</v>
      </c>
      <c r="T164" t="s">
        <v>92</v>
      </c>
      <c r="U164" t="s">
        <v>80</v>
      </c>
      <c r="V164" t="s">
        <v>60</v>
      </c>
      <c r="W164" t="s">
        <v>30</v>
      </c>
      <c r="X164" t="s">
        <v>30</v>
      </c>
      <c r="Y164" t="s">
        <v>30</v>
      </c>
    </row>
    <row r="165" spans="1:25" x14ac:dyDescent="0.25">
      <c r="A165" t="s">
        <v>25</v>
      </c>
      <c r="B165" t="s">
        <v>26</v>
      </c>
      <c r="C165">
        <v>2024</v>
      </c>
      <c r="D165" s="1">
        <v>45494</v>
      </c>
      <c r="E165" s="2">
        <v>4.1666666666666664E-2</v>
      </c>
      <c r="F165" t="s">
        <v>50</v>
      </c>
      <c r="G165" t="s">
        <v>47</v>
      </c>
      <c r="H165">
        <v>2</v>
      </c>
      <c r="I165">
        <v>0</v>
      </c>
      <c r="J165" t="s">
        <v>33</v>
      </c>
      <c r="K165">
        <v>174</v>
      </c>
      <c r="L165">
        <v>378</v>
      </c>
      <c r="M165">
        <v>511</v>
      </c>
      <c r="N165">
        <v>174</v>
      </c>
      <c r="O165">
        <v>379</v>
      </c>
      <c r="P165">
        <v>526</v>
      </c>
      <c r="Q165">
        <v>171</v>
      </c>
      <c r="R165">
        <v>369</v>
      </c>
      <c r="S165">
        <v>493</v>
      </c>
      <c r="T165" t="s">
        <v>93</v>
      </c>
      <c r="U165" t="s">
        <v>94</v>
      </c>
      <c r="V165" t="s">
        <v>95</v>
      </c>
      <c r="W165" t="s">
        <v>30</v>
      </c>
      <c r="X165" t="s">
        <v>30</v>
      </c>
      <c r="Y165" t="s">
        <v>30</v>
      </c>
    </row>
    <row r="166" spans="1:25" x14ac:dyDescent="0.25">
      <c r="A166" t="s">
        <v>25</v>
      </c>
      <c r="B166" t="s">
        <v>26</v>
      </c>
      <c r="C166">
        <v>2024</v>
      </c>
      <c r="D166" s="1">
        <v>45494</v>
      </c>
      <c r="E166" s="2">
        <v>0.625</v>
      </c>
      <c r="F166" t="s">
        <v>46</v>
      </c>
      <c r="G166" t="s">
        <v>49</v>
      </c>
      <c r="H166">
        <v>2</v>
      </c>
      <c r="I166">
        <v>0</v>
      </c>
      <c r="J166" t="s">
        <v>33</v>
      </c>
      <c r="K166">
        <v>179</v>
      </c>
      <c r="L166">
        <v>34</v>
      </c>
      <c r="M166">
        <v>547</v>
      </c>
      <c r="N166">
        <v>185</v>
      </c>
      <c r="O166">
        <v>358</v>
      </c>
      <c r="P166">
        <v>547</v>
      </c>
      <c r="Q166">
        <v>179</v>
      </c>
      <c r="R166">
        <v>34</v>
      </c>
      <c r="S166">
        <v>49</v>
      </c>
      <c r="T166" t="s">
        <v>96</v>
      </c>
      <c r="U166" t="s">
        <v>97</v>
      </c>
      <c r="V166" t="s">
        <v>98</v>
      </c>
      <c r="W166" t="s">
        <v>30</v>
      </c>
      <c r="X166" t="s">
        <v>30</v>
      </c>
      <c r="Y166" t="s">
        <v>30</v>
      </c>
    </row>
    <row r="167" spans="1:25" x14ac:dyDescent="0.25">
      <c r="A167" t="s">
        <v>25</v>
      </c>
      <c r="B167" t="s">
        <v>26</v>
      </c>
      <c r="C167">
        <v>2024</v>
      </c>
      <c r="D167" s="1">
        <v>45494</v>
      </c>
      <c r="E167" s="2">
        <v>0.83333333333333326</v>
      </c>
      <c r="F167" t="s">
        <v>44</v>
      </c>
      <c r="G167" t="s">
        <v>45</v>
      </c>
      <c r="H167">
        <v>2</v>
      </c>
      <c r="I167">
        <v>0</v>
      </c>
      <c r="J167" t="s">
        <v>33</v>
      </c>
      <c r="K167">
        <v>174</v>
      </c>
      <c r="L167">
        <v>381</v>
      </c>
      <c r="M167">
        <v>507</v>
      </c>
      <c r="N167">
        <v>181</v>
      </c>
      <c r="O167">
        <v>402</v>
      </c>
      <c r="P167">
        <v>546</v>
      </c>
      <c r="Q167">
        <v>17</v>
      </c>
      <c r="R167">
        <v>377</v>
      </c>
      <c r="S167">
        <v>492</v>
      </c>
      <c r="T167" t="s">
        <v>99</v>
      </c>
      <c r="U167" t="s">
        <v>65</v>
      </c>
      <c r="V167" t="s">
        <v>98</v>
      </c>
      <c r="W167" t="s">
        <v>30</v>
      </c>
      <c r="X167" t="s">
        <v>30</v>
      </c>
      <c r="Y167" t="s">
        <v>30</v>
      </c>
    </row>
    <row r="168" spans="1:25" x14ac:dyDescent="0.25">
      <c r="A168" t="s">
        <v>25</v>
      </c>
      <c r="B168" t="s">
        <v>26</v>
      </c>
      <c r="C168">
        <v>2024</v>
      </c>
      <c r="D168" s="1">
        <v>45494</v>
      </c>
      <c r="E168" s="2">
        <v>0.83333333333333326</v>
      </c>
      <c r="F168" t="s">
        <v>32</v>
      </c>
      <c r="G168" t="s">
        <v>43</v>
      </c>
      <c r="H168">
        <v>0</v>
      </c>
      <c r="I168">
        <v>1</v>
      </c>
      <c r="J168" t="s">
        <v>38</v>
      </c>
      <c r="K168">
        <v>171</v>
      </c>
      <c r="L168">
        <v>377</v>
      </c>
      <c r="M168">
        <v>531</v>
      </c>
      <c r="N168">
        <v>173</v>
      </c>
      <c r="O168">
        <v>4</v>
      </c>
      <c r="P168">
        <v>552</v>
      </c>
      <c r="Q168">
        <v>168</v>
      </c>
      <c r="R168">
        <v>379</v>
      </c>
      <c r="S168">
        <v>507</v>
      </c>
      <c r="T168" t="s">
        <v>100</v>
      </c>
      <c r="U168" t="s">
        <v>65</v>
      </c>
      <c r="V168" t="s">
        <v>101</v>
      </c>
      <c r="W168" t="s">
        <v>30</v>
      </c>
      <c r="X168" t="s">
        <v>30</v>
      </c>
      <c r="Y168" t="s">
        <v>30</v>
      </c>
    </row>
    <row r="169" spans="1:25" x14ac:dyDescent="0.25">
      <c r="A169" t="s">
        <v>25</v>
      </c>
      <c r="B169" t="s">
        <v>26</v>
      </c>
      <c r="C169">
        <v>2024</v>
      </c>
      <c r="D169" s="1">
        <v>45494</v>
      </c>
      <c r="E169" s="2">
        <v>0.9375</v>
      </c>
      <c r="F169" t="s">
        <v>35</v>
      </c>
      <c r="G169" t="s">
        <v>39</v>
      </c>
      <c r="H169">
        <v>1</v>
      </c>
      <c r="I169">
        <v>0</v>
      </c>
      <c r="J169" t="s">
        <v>33</v>
      </c>
      <c r="K169">
        <v>201</v>
      </c>
      <c r="L169">
        <v>346</v>
      </c>
      <c r="M169">
        <v>403</v>
      </c>
      <c r="N169">
        <v>213</v>
      </c>
      <c r="O169">
        <v>35</v>
      </c>
      <c r="P169">
        <v>44</v>
      </c>
      <c r="Q169">
        <v>197</v>
      </c>
      <c r="R169">
        <v>338</v>
      </c>
      <c r="S169">
        <v>392</v>
      </c>
      <c r="T169" t="s">
        <v>102</v>
      </c>
      <c r="U169" t="s">
        <v>97</v>
      </c>
      <c r="V169" t="s">
        <v>63</v>
      </c>
      <c r="W169" t="s">
        <v>30</v>
      </c>
      <c r="X169" t="s">
        <v>30</v>
      </c>
      <c r="Y169" t="s">
        <v>30</v>
      </c>
    </row>
    <row r="170" spans="1:25" x14ac:dyDescent="0.25">
      <c r="A170" t="s">
        <v>25</v>
      </c>
      <c r="B170" t="s">
        <v>26</v>
      </c>
      <c r="C170">
        <v>2024</v>
      </c>
      <c r="D170" s="1">
        <v>45494</v>
      </c>
      <c r="E170" s="2">
        <v>0.9375</v>
      </c>
      <c r="F170" t="s">
        <v>37</v>
      </c>
      <c r="G170" t="s">
        <v>41</v>
      </c>
      <c r="H170">
        <v>3</v>
      </c>
      <c r="I170">
        <v>1</v>
      </c>
      <c r="J170" t="s">
        <v>33</v>
      </c>
      <c r="K170">
        <v>174</v>
      </c>
      <c r="L170">
        <v>364</v>
      </c>
      <c r="M170">
        <v>532</v>
      </c>
      <c r="N170">
        <v>175</v>
      </c>
      <c r="O170">
        <v>384</v>
      </c>
      <c r="P170">
        <v>559</v>
      </c>
      <c r="Q170">
        <v>172</v>
      </c>
      <c r="R170">
        <v>361</v>
      </c>
      <c r="S170">
        <v>503</v>
      </c>
      <c r="T170" t="s">
        <v>103</v>
      </c>
      <c r="U170" t="s">
        <v>104</v>
      </c>
      <c r="V170" t="s">
        <v>105</v>
      </c>
      <c r="W170" t="s">
        <v>30</v>
      </c>
      <c r="X170" t="s">
        <v>30</v>
      </c>
      <c r="Y170" t="s">
        <v>30</v>
      </c>
    </row>
    <row r="171" spans="1:25" x14ac:dyDescent="0.25">
      <c r="A171" t="s">
        <v>25</v>
      </c>
      <c r="B171" t="s">
        <v>26</v>
      </c>
      <c r="C171">
        <v>2024</v>
      </c>
      <c r="D171" s="1">
        <v>45494</v>
      </c>
      <c r="E171" s="2">
        <v>0.9375</v>
      </c>
      <c r="F171" t="s">
        <v>28</v>
      </c>
      <c r="G171" t="s">
        <v>36</v>
      </c>
      <c r="H171">
        <v>0</v>
      </c>
      <c r="I171">
        <v>0</v>
      </c>
      <c r="J171" t="s">
        <v>29</v>
      </c>
      <c r="K171">
        <v>359</v>
      </c>
      <c r="L171">
        <v>329</v>
      </c>
      <c r="M171">
        <v>222</v>
      </c>
      <c r="N171">
        <v>426</v>
      </c>
      <c r="O171">
        <v>335</v>
      </c>
      <c r="P171">
        <v>222</v>
      </c>
      <c r="Q171">
        <v>364</v>
      </c>
      <c r="R171">
        <v>325</v>
      </c>
      <c r="S171">
        <v>21</v>
      </c>
      <c r="T171" t="s">
        <v>71</v>
      </c>
      <c r="U171" t="s">
        <v>80</v>
      </c>
      <c r="V171" t="s">
        <v>106</v>
      </c>
      <c r="W171" t="s">
        <v>30</v>
      </c>
      <c r="X171" t="s">
        <v>30</v>
      </c>
      <c r="Y171" t="s">
        <v>30</v>
      </c>
    </row>
    <row r="172" spans="1:25" x14ac:dyDescent="0.25">
      <c r="A172" t="s">
        <v>25</v>
      </c>
      <c r="B172" t="s">
        <v>26</v>
      </c>
      <c r="C172">
        <v>2024</v>
      </c>
      <c r="D172" s="1">
        <v>45495</v>
      </c>
      <c r="E172" s="2">
        <v>0</v>
      </c>
      <c r="F172" t="s">
        <v>40</v>
      </c>
      <c r="G172" t="s">
        <v>34</v>
      </c>
      <c r="H172">
        <v>0</v>
      </c>
      <c r="I172">
        <v>1</v>
      </c>
      <c r="J172" t="s">
        <v>38</v>
      </c>
      <c r="K172">
        <v>259</v>
      </c>
      <c r="L172">
        <v>298</v>
      </c>
      <c r="M172">
        <v>321</v>
      </c>
      <c r="N172">
        <v>265</v>
      </c>
      <c r="O172">
        <v>316</v>
      </c>
      <c r="P172">
        <v>331</v>
      </c>
      <c r="Q172">
        <v>252</v>
      </c>
      <c r="R172">
        <v>296</v>
      </c>
      <c r="S172">
        <v>311</v>
      </c>
      <c r="T172" t="s">
        <v>86</v>
      </c>
      <c r="U172" t="s">
        <v>107</v>
      </c>
      <c r="V172" t="s">
        <v>56</v>
      </c>
      <c r="W172" t="s">
        <v>30</v>
      </c>
      <c r="X172" t="s">
        <v>30</v>
      </c>
      <c r="Y172" t="s">
        <v>30</v>
      </c>
    </row>
    <row r="173" spans="1:25" x14ac:dyDescent="0.25">
      <c r="A173" t="s">
        <v>25</v>
      </c>
      <c r="B173" t="s">
        <v>26</v>
      </c>
      <c r="C173">
        <v>2024</v>
      </c>
      <c r="D173" s="1">
        <v>45497</v>
      </c>
      <c r="E173" s="2">
        <v>0.95833333333333326</v>
      </c>
      <c r="F173" t="s">
        <v>27</v>
      </c>
      <c r="G173" t="s">
        <v>37</v>
      </c>
      <c r="H173">
        <v>1</v>
      </c>
      <c r="I173">
        <v>1</v>
      </c>
      <c r="J173" t="s">
        <v>29</v>
      </c>
      <c r="K173">
        <v>279</v>
      </c>
      <c r="L173">
        <v>315</v>
      </c>
      <c r="M173">
        <v>28</v>
      </c>
      <c r="N173">
        <v>286</v>
      </c>
      <c r="O173">
        <v>32</v>
      </c>
      <c r="P173">
        <v>291</v>
      </c>
      <c r="Q173">
        <v>267</v>
      </c>
      <c r="R173">
        <v>31</v>
      </c>
      <c r="S173">
        <v>276</v>
      </c>
      <c r="T173" t="s">
        <v>108</v>
      </c>
      <c r="U173" t="s">
        <v>68</v>
      </c>
      <c r="V173" t="s">
        <v>109</v>
      </c>
      <c r="W173" t="s">
        <v>30</v>
      </c>
      <c r="X173" t="s">
        <v>30</v>
      </c>
      <c r="Y173" t="s">
        <v>30</v>
      </c>
    </row>
    <row r="174" spans="1:25" x14ac:dyDescent="0.25">
      <c r="A174" t="s">
        <v>25</v>
      </c>
      <c r="B174" t="s">
        <v>26</v>
      </c>
      <c r="C174">
        <v>2024</v>
      </c>
      <c r="D174" s="1">
        <v>45497</v>
      </c>
      <c r="E174" s="2">
        <v>0.95833333333333326</v>
      </c>
      <c r="F174" t="s">
        <v>47</v>
      </c>
      <c r="G174" t="s">
        <v>28</v>
      </c>
      <c r="H174">
        <v>2</v>
      </c>
      <c r="I174">
        <v>0</v>
      </c>
      <c r="J174" t="s">
        <v>33</v>
      </c>
      <c r="K174">
        <v>15</v>
      </c>
      <c r="L174">
        <v>424</v>
      </c>
      <c r="M174">
        <v>785</v>
      </c>
      <c r="N174">
        <v>153</v>
      </c>
      <c r="O174">
        <v>44</v>
      </c>
      <c r="P174">
        <v>813</v>
      </c>
      <c r="Q174">
        <v>146</v>
      </c>
      <c r="R174">
        <v>423</v>
      </c>
      <c r="S174">
        <v>731</v>
      </c>
      <c r="T174" t="s">
        <v>110</v>
      </c>
      <c r="U174" t="s">
        <v>111</v>
      </c>
      <c r="V174" t="s">
        <v>112</v>
      </c>
      <c r="W174" t="s">
        <v>30</v>
      </c>
      <c r="X174" t="s">
        <v>30</v>
      </c>
      <c r="Y174" t="s">
        <v>30</v>
      </c>
    </row>
    <row r="175" spans="1:25" x14ac:dyDescent="0.25">
      <c r="A175" t="s">
        <v>25</v>
      </c>
      <c r="B175" t="s">
        <v>26</v>
      </c>
      <c r="C175">
        <v>2024</v>
      </c>
      <c r="D175" s="1">
        <v>45497</v>
      </c>
      <c r="E175" s="2">
        <v>0.97916666666666663</v>
      </c>
      <c r="F175" t="s">
        <v>36</v>
      </c>
      <c r="G175" t="s">
        <v>48</v>
      </c>
      <c r="H175">
        <v>2</v>
      </c>
      <c r="I175">
        <v>2</v>
      </c>
      <c r="J175" t="s">
        <v>29</v>
      </c>
      <c r="K175">
        <v>227</v>
      </c>
      <c r="L175">
        <v>3</v>
      </c>
      <c r="M175">
        <v>385</v>
      </c>
      <c r="N175">
        <v>233</v>
      </c>
      <c r="O175">
        <v>303</v>
      </c>
      <c r="P175">
        <v>389</v>
      </c>
      <c r="Q175">
        <v>223</v>
      </c>
      <c r="R175">
        <v>296</v>
      </c>
      <c r="S175">
        <v>368</v>
      </c>
      <c r="T175" t="s">
        <v>79</v>
      </c>
      <c r="U175" t="s">
        <v>85</v>
      </c>
      <c r="V175" t="s">
        <v>65</v>
      </c>
      <c r="W175" t="s">
        <v>30</v>
      </c>
      <c r="X175" t="s">
        <v>30</v>
      </c>
      <c r="Y175" t="s">
        <v>30</v>
      </c>
    </row>
    <row r="176" spans="1:25" x14ac:dyDescent="0.25">
      <c r="A176" t="s">
        <v>25</v>
      </c>
      <c r="B176" t="s">
        <v>26</v>
      </c>
      <c r="C176">
        <v>2024</v>
      </c>
      <c r="D176" s="1">
        <v>45498</v>
      </c>
      <c r="E176" s="2">
        <v>0</v>
      </c>
      <c r="F176" t="s">
        <v>49</v>
      </c>
      <c r="G176" t="s">
        <v>42</v>
      </c>
      <c r="H176">
        <v>1</v>
      </c>
      <c r="I176">
        <v>2</v>
      </c>
      <c r="J176" t="s">
        <v>38</v>
      </c>
      <c r="K176">
        <v>517</v>
      </c>
      <c r="L176">
        <v>374</v>
      </c>
      <c r="M176">
        <v>174</v>
      </c>
      <c r="N176">
        <v>552</v>
      </c>
      <c r="O176">
        <v>375</v>
      </c>
      <c r="P176">
        <v>176</v>
      </c>
      <c r="Q176">
        <v>497</v>
      </c>
      <c r="R176">
        <v>365</v>
      </c>
      <c r="S176">
        <v>172</v>
      </c>
      <c r="T176" t="s">
        <v>105</v>
      </c>
      <c r="U176" t="s">
        <v>77</v>
      </c>
      <c r="V176" t="s">
        <v>113</v>
      </c>
      <c r="W176" t="s">
        <v>30</v>
      </c>
      <c r="X176" t="s">
        <v>30</v>
      </c>
      <c r="Y176" t="s">
        <v>30</v>
      </c>
    </row>
    <row r="177" spans="1:25" x14ac:dyDescent="0.25">
      <c r="A177" t="s">
        <v>25</v>
      </c>
      <c r="B177" t="s">
        <v>26</v>
      </c>
      <c r="C177">
        <v>2024</v>
      </c>
      <c r="D177" s="1">
        <v>45498</v>
      </c>
      <c r="E177" s="2">
        <v>6.25E-2</v>
      </c>
      <c r="F177" t="s">
        <v>41</v>
      </c>
      <c r="G177" t="s">
        <v>32</v>
      </c>
      <c r="H177">
        <v>1</v>
      </c>
      <c r="I177">
        <v>1</v>
      </c>
      <c r="J177" t="s">
        <v>29</v>
      </c>
      <c r="K177">
        <v>314</v>
      </c>
      <c r="L177">
        <v>328</v>
      </c>
      <c r="M177">
        <v>244</v>
      </c>
      <c r="N177">
        <v>326</v>
      </c>
      <c r="O177">
        <v>328</v>
      </c>
      <c r="P177">
        <v>25</v>
      </c>
      <c r="Q177">
        <v>303</v>
      </c>
      <c r="R177">
        <v>321</v>
      </c>
      <c r="S177">
        <v>24</v>
      </c>
      <c r="T177" t="s">
        <v>69</v>
      </c>
      <c r="U177" t="s">
        <v>56</v>
      </c>
      <c r="V177" t="s">
        <v>114</v>
      </c>
      <c r="W177" t="s">
        <v>30</v>
      </c>
      <c r="X177" t="s">
        <v>30</v>
      </c>
      <c r="Y177" t="s">
        <v>30</v>
      </c>
    </row>
    <row r="178" spans="1:25" x14ac:dyDescent="0.25">
      <c r="A178" t="s">
        <v>25</v>
      </c>
      <c r="B178" t="s">
        <v>26</v>
      </c>
      <c r="C178">
        <v>2024</v>
      </c>
      <c r="D178" s="1">
        <v>45498</v>
      </c>
      <c r="E178" s="2">
        <v>6.25E-2</v>
      </c>
      <c r="F178" t="s">
        <v>34</v>
      </c>
      <c r="G178" t="s">
        <v>50</v>
      </c>
      <c r="H178">
        <v>1</v>
      </c>
      <c r="I178">
        <v>0</v>
      </c>
      <c r="J178" t="s">
        <v>33</v>
      </c>
      <c r="K178">
        <v>31</v>
      </c>
      <c r="L178">
        <v>32</v>
      </c>
      <c r="M178">
        <v>251</v>
      </c>
      <c r="N178">
        <v>34</v>
      </c>
      <c r="O178">
        <v>327</v>
      </c>
      <c r="P178">
        <v>251</v>
      </c>
      <c r="Q178">
        <v>308</v>
      </c>
      <c r="R178">
        <v>317</v>
      </c>
      <c r="S178">
        <v>241</v>
      </c>
      <c r="T178" t="s">
        <v>57</v>
      </c>
      <c r="U178" t="s">
        <v>57</v>
      </c>
      <c r="V178" t="s">
        <v>67</v>
      </c>
      <c r="W178" t="s">
        <v>30</v>
      </c>
      <c r="X178" t="s">
        <v>30</v>
      </c>
      <c r="Y178" t="s">
        <v>30</v>
      </c>
    </row>
    <row r="179" spans="1:25" x14ac:dyDescent="0.25">
      <c r="A179" t="s">
        <v>25</v>
      </c>
      <c r="B179" t="s">
        <v>26</v>
      </c>
      <c r="C179">
        <v>2024</v>
      </c>
      <c r="D179" s="1">
        <v>45499</v>
      </c>
      <c r="E179" s="2">
        <v>0</v>
      </c>
      <c r="F179" t="s">
        <v>43</v>
      </c>
      <c r="G179" t="s">
        <v>46</v>
      </c>
      <c r="H179">
        <v>2</v>
      </c>
      <c r="I179">
        <v>2</v>
      </c>
      <c r="J179" t="s">
        <v>29</v>
      </c>
      <c r="K179">
        <v>199</v>
      </c>
      <c r="L179">
        <v>329</v>
      </c>
      <c r="M179">
        <v>436</v>
      </c>
      <c r="N179">
        <v>205</v>
      </c>
      <c r="O179">
        <v>334</v>
      </c>
      <c r="P179">
        <v>436</v>
      </c>
      <c r="Q179">
        <v>199</v>
      </c>
      <c r="R179">
        <v>321</v>
      </c>
      <c r="S179">
        <v>411</v>
      </c>
      <c r="T179" t="s">
        <v>102</v>
      </c>
      <c r="U179" t="s">
        <v>52</v>
      </c>
      <c r="V179" t="s">
        <v>115</v>
      </c>
      <c r="W179" t="s">
        <v>30</v>
      </c>
      <c r="X179" t="s">
        <v>30</v>
      </c>
      <c r="Y179" t="s">
        <v>30</v>
      </c>
    </row>
    <row r="180" spans="1:25" x14ac:dyDescent="0.25">
      <c r="A180" t="s">
        <v>25</v>
      </c>
      <c r="B180" t="s">
        <v>26</v>
      </c>
      <c r="C180">
        <v>2024</v>
      </c>
      <c r="D180" s="1">
        <v>45500</v>
      </c>
      <c r="E180" s="2">
        <v>0.95833333333333326</v>
      </c>
      <c r="F180" t="s">
        <v>28</v>
      </c>
      <c r="G180" t="s">
        <v>27</v>
      </c>
      <c r="H180">
        <v>1</v>
      </c>
      <c r="I180">
        <v>2</v>
      </c>
      <c r="J180" t="s">
        <v>38</v>
      </c>
      <c r="K180">
        <v>233</v>
      </c>
      <c r="L180">
        <v>312</v>
      </c>
      <c r="M180">
        <v>353</v>
      </c>
      <c r="N180">
        <v>235</v>
      </c>
      <c r="O180">
        <v>316</v>
      </c>
      <c r="P180">
        <v>356</v>
      </c>
      <c r="Q180">
        <v>227</v>
      </c>
      <c r="R180">
        <v>31</v>
      </c>
      <c r="S180">
        <v>341</v>
      </c>
      <c r="T180" t="s">
        <v>54</v>
      </c>
      <c r="U180" t="s">
        <v>52</v>
      </c>
      <c r="V180" t="s">
        <v>58</v>
      </c>
      <c r="W180" t="s">
        <v>30</v>
      </c>
      <c r="X180" t="s">
        <v>30</v>
      </c>
      <c r="Y180" t="s">
        <v>30</v>
      </c>
    </row>
    <row r="181" spans="1:25" x14ac:dyDescent="0.25">
      <c r="A181" t="s">
        <v>25</v>
      </c>
      <c r="B181" t="s">
        <v>26</v>
      </c>
      <c r="C181">
        <v>2024</v>
      </c>
      <c r="D181" s="1">
        <v>45500</v>
      </c>
      <c r="E181" s="2">
        <v>0.95833333333333326</v>
      </c>
      <c r="F181" t="s">
        <v>50</v>
      </c>
      <c r="G181" t="s">
        <v>49</v>
      </c>
      <c r="H181">
        <v>0</v>
      </c>
      <c r="I181">
        <v>2</v>
      </c>
      <c r="J181" t="s">
        <v>38</v>
      </c>
      <c r="K181">
        <v>147</v>
      </c>
      <c r="L181">
        <v>456</v>
      </c>
      <c r="M181">
        <v>75</v>
      </c>
      <c r="N181">
        <v>152</v>
      </c>
      <c r="O181">
        <v>477</v>
      </c>
      <c r="P181">
        <v>75</v>
      </c>
      <c r="Q181">
        <v>146</v>
      </c>
      <c r="R181">
        <v>442</v>
      </c>
      <c r="S181">
        <v>693</v>
      </c>
      <c r="T181" t="s">
        <v>116</v>
      </c>
      <c r="U181" t="s">
        <v>117</v>
      </c>
      <c r="V181" t="s">
        <v>118</v>
      </c>
      <c r="W181" t="s">
        <v>30</v>
      </c>
      <c r="X181" t="s">
        <v>30</v>
      </c>
      <c r="Y181" t="s">
        <v>30</v>
      </c>
    </row>
    <row r="182" spans="1:25" x14ac:dyDescent="0.25">
      <c r="A182" t="s">
        <v>25</v>
      </c>
      <c r="B182" t="s">
        <v>26</v>
      </c>
      <c r="C182">
        <v>2024</v>
      </c>
      <c r="D182" s="1">
        <v>45501</v>
      </c>
      <c r="E182" s="2">
        <v>0</v>
      </c>
      <c r="F182" t="s">
        <v>32</v>
      </c>
      <c r="G182" t="s">
        <v>31</v>
      </c>
      <c r="H182">
        <v>1</v>
      </c>
      <c r="I182">
        <v>1</v>
      </c>
      <c r="J182" t="s">
        <v>29</v>
      </c>
      <c r="K182">
        <v>204</v>
      </c>
      <c r="L182">
        <v>344</v>
      </c>
      <c r="M182">
        <v>396</v>
      </c>
      <c r="N182">
        <v>206</v>
      </c>
      <c r="O182">
        <v>345</v>
      </c>
      <c r="P182">
        <v>429</v>
      </c>
      <c r="Q182">
        <v>199</v>
      </c>
      <c r="R182">
        <v>334</v>
      </c>
      <c r="S182">
        <v>393</v>
      </c>
      <c r="T182" t="s">
        <v>62</v>
      </c>
      <c r="U182" t="s">
        <v>55</v>
      </c>
      <c r="V182" t="s">
        <v>83</v>
      </c>
      <c r="W182" t="s">
        <v>30</v>
      </c>
      <c r="X182" t="s">
        <v>30</v>
      </c>
      <c r="Y182" t="s">
        <v>30</v>
      </c>
    </row>
    <row r="183" spans="1:25" x14ac:dyDescent="0.25">
      <c r="A183" t="s">
        <v>25</v>
      </c>
      <c r="B183" t="s">
        <v>26</v>
      </c>
      <c r="C183">
        <v>2024</v>
      </c>
      <c r="D183" s="1">
        <v>45501</v>
      </c>
      <c r="E183" s="2">
        <v>6.25E-2</v>
      </c>
      <c r="F183" t="s">
        <v>48</v>
      </c>
      <c r="G183" t="s">
        <v>47</v>
      </c>
      <c r="H183">
        <v>0</v>
      </c>
      <c r="I183">
        <v>3</v>
      </c>
      <c r="J183" t="s">
        <v>38</v>
      </c>
      <c r="K183">
        <v>214</v>
      </c>
      <c r="L183">
        <v>339</v>
      </c>
      <c r="M183">
        <v>369</v>
      </c>
      <c r="N183">
        <v>216</v>
      </c>
      <c r="O183">
        <v>339</v>
      </c>
      <c r="P183">
        <v>4</v>
      </c>
      <c r="Q183">
        <v>21</v>
      </c>
      <c r="R183">
        <v>326</v>
      </c>
      <c r="S183">
        <v>365</v>
      </c>
      <c r="T183" t="s">
        <v>106</v>
      </c>
      <c r="U183" t="s">
        <v>56</v>
      </c>
      <c r="V183" t="s">
        <v>77</v>
      </c>
      <c r="W183" t="s">
        <v>30</v>
      </c>
      <c r="X183" t="s">
        <v>30</v>
      </c>
      <c r="Y183" t="s">
        <v>30</v>
      </c>
    </row>
    <row r="184" spans="1:25" x14ac:dyDescent="0.25">
      <c r="A184" t="s">
        <v>25</v>
      </c>
      <c r="B184" t="s">
        <v>26</v>
      </c>
      <c r="C184">
        <v>2024</v>
      </c>
      <c r="D184" s="1">
        <v>45501</v>
      </c>
      <c r="E184" s="2">
        <v>6.25E-2</v>
      </c>
      <c r="F184" t="s">
        <v>37</v>
      </c>
      <c r="G184" t="s">
        <v>36</v>
      </c>
      <c r="H184">
        <v>1</v>
      </c>
      <c r="I184">
        <v>0</v>
      </c>
      <c r="J184" t="s">
        <v>33</v>
      </c>
      <c r="K184">
        <v>236</v>
      </c>
      <c r="L184">
        <v>294</v>
      </c>
      <c r="M184">
        <v>371</v>
      </c>
      <c r="N184">
        <v>237</v>
      </c>
      <c r="O184">
        <v>3</v>
      </c>
      <c r="P184">
        <v>391</v>
      </c>
      <c r="Q184">
        <v>23</v>
      </c>
      <c r="R184">
        <v>289</v>
      </c>
      <c r="S184">
        <v>363</v>
      </c>
      <c r="T184" t="s">
        <v>119</v>
      </c>
      <c r="U184" t="s">
        <v>85</v>
      </c>
      <c r="V184" t="s">
        <v>77</v>
      </c>
      <c r="W184" t="s">
        <v>30</v>
      </c>
      <c r="X184" t="s">
        <v>30</v>
      </c>
      <c r="Y184" t="s">
        <v>30</v>
      </c>
    </row>
    <row r="185" spans="1:25" x14ac:dyDescent="0.25">
      <c r="A185" t="s">
        <v>25</v>
      </c>
      <c r="B185" t="s">
        <v>26</v>
      </c>
      <c r="C185">
        <v>2024</v>
      </c>
      <c r="D185" s="1">
        <v>45501</v>
      </c>
      <c r="E185" s="2">
        <v>0.625</v>
      </c>
      <c r="F185" t="s">
        <v>35</v>
      </c>
      <c r="G185" t="s">
        <v>34</v>
      </c>
      <c r="H185">
        <v>0</v>
      </c>
      <c r="I185">
        <v>1</v>
      </c>
      <c r="J185" t="s">
        <v>38</v>
      </c>
      <c r="K185">
        <v>241</v>
      </c>
      <c r="L185">
        <v>323</v>
      </c>
      <c r="M185">
        <v>324</v>
      </c>
      <c r="N185">
        <v>25</v>
      </c>
      <c r="O185">
        <v>325</v>
      </c>
      <c r="P185">
        <v>338</v>
      </c>
      <c r="Q185">
        <v>235</v>
      </c>
      <c r="R185">
        <v>316</v>
      </c>
      <c r="S185">
        <v>317</v>
      </c>
      <c r="T185" t="s">
        <v>120</v>
      </c>
      <c r="U185" t="s">
        <v>52</v>
      </c>
      <c r="V185" t="s">
        <v>52</v>
      </c>
      <c r="W185" t="s">
        <v>30</v>
      </c>
      <c r="X185" t="s">
        <v>30</v>
      </c>
      <c r="Y185" t="s">
        <v>30</v>
      </c>
    </row>
    <row r="186" spans="1:25" x14ac:dyDescent="0.25">
      <c r="A186" t="s">
        <v>25</v>
      </c>
      <c r="B186" t="s">
        <v>26</v>
      </c>
      <c r="C186">
        <v>2024</v>
      </c>
      <c r="D186" s="1">
        <v>45501</v>
      </c>
      <c r="E186" s="2">
        <v>0.83333333333333326</v>
      </c>
      <c r="F186" t="s">
        <v>42</v>
      </c>
      <c r="G186" t="s">
        <v>41</v>
      </c>
      <c r="H186">
        <v>2</v>
      </c>
      <c r="I186">
        <v>0</v>
      </c>
      <c r="J186" t="s">
        <v>33</v>
      </c>
      <c r="K186">
        <v>129</v>
      </c>
      <c r="L186">
        <v>574</v>
      </c>
      <c r="M186">
        <v>1142</v>
      </c>
      <c r="N186">
        <v>133</v>
      </c>
      <c r="O186">
        <v>58</v>
      </c>
      <c r="P186">
        <v>116</v>
      </c>
      <c r="Q186">
        <v>129</v>
      </c>
      <c r="R186">
        <v>545</v>
      </c>
      <c r="S186">
        <v>1047</v>
      </c>
      <c r="T186" t="s">
        <v>121</v>
      </c>
      <c r="U186" t="s">
        <v>88</v>
      </c>
      <c r="V186" t="s">
        <v>122</v>
      </c>
      <c r="W186" t="s">
        <v>30</v>
      </c>
      <c r="X186" t="s">
        <v>30</v>
      </c>
      <c r="Y186" t="s">
        <v>30</v>
      </c>
    </row>
    <row r="187" spans="1:25" x14ac:dyDescent="0.25">
      <c r="A187" t="s">
        <v>25</v>
      </c>
      <c r="B187" t="s">
        <v>26</v>
      </c>
      <c r="C187">
        <v>2024</v>
      </c>
      <c r="D187" s="1">
        <v>45501</v>
      </c>
      <c r="E187" s="2">
        <v>0.95833333333333326</v>
      </c>
      <c r="F187" t="s">
        <v>44</v>
      </c>
      <c r="G187" t="s">
        <v>43</v>
      </c>
      <c r="H187">
        <v>2</v>
      </c>
      <c r="I187">
        <v>1</v>
      </c>
      <c r="J187" t="s">
        <v>33</v>
      </c>
      <c r="K187">
        <v>171</v>
      </c>
      <c r="L187">
        <v>365</v>
      </c>
      <c r="M187">
        <v>564</v>
      </c>
      <c r="N187">
        <v>175</v>
      </c>
      <c r="O187">
        <v>375</v>
      </c>
      <c r="P187">
        <v>581</v>
      </c>
      <c r="Q187">
        <v>169</v>
      </c>
      <c r="R187">
        <v>356</v>
      </c>
      <c r="S187">
        <v>537</v>
      </c>
      <c r="T187" t="s">
        <v>93</v>
      </c>
      <c r="U187" t="s">
        <v>74</v>
      </c>
      <c r="V187" t="s">
        <v>123</v>
      </c>
      <c r="W187" t="s">
        <v>30</v>
      </c>
      <c r="X187" t="s">
        <v>30</v>
      </c>
      <c r="Y187" t="s">
        <v>30</v>
      </c>
    </row>
    <row r="188" spans="1:25" x14ac:dyDescent="0.25">
      <c r="A188" t="s">
        <v>25</v>
      </c>
      <c r="B188" t="s">
        <v>26</v>
      </c>
      <c r="C188">
        <v>2024</v>
      </c>
      <c r="D188" s="1">
        <v>45501</v>
      </c>
      <c r="E188" s="2">
        <v>0.95833333333333326</v>
      </c>
      <c r="F188" t="s">
        <v>40</v>
      </c>
      <c r="G188" t="s">
        <v>39</v>
      </c>
      <c r="H188">
        <v>1</v>
      </c>
      <c r="I188">
        <v>2</v>
      </c>
      <c r="J188" t="s">
        <v>38</v>
      </c>
      <c r="K188">
        <v>241</v>
      </c>
      <c r="L188">
        <v>314</v>
      </c>
      <c r="M188">
        <v>334</v>
      </c>
      <c r="N188">
        <v>25</v>
      </c>
      <c r="O188">
        <v>314</v>
      </c>
      <c r="P188">
        <v>345</v>
      </c>
      <c r="Q188">
        <v>237</v>
      </c>
      <c r="R188">
        <v>307</v>
      </c>
      <c r="S188">
        <v>324</v>
      </c>
      <c r="T188" t="s">
        <v>124</v>
      </c>
      <c r="U188" t="s">
        <v>69</v>
      </c>
      <c r="V188" t="s">
        <v>58</v>
      </c>
      <c r="W188" t="s">
        <v>30</v>
      </c>
      <c r="X188" t="s">
        <v>30</v>
      </c>
      <c r="Y188" t="s">
        <v>30</v>
      </c>
    </row>
    <row r="189" spans="1:25" x14ac:dyDescent="0.25">
      <c r="A189" t="s">
        <v>25</v>
      </c>
      <c r="B189" t="s">
        <v>26</v>
      </c>
      <c r="C189">
        <v>2024</v>
      </c>
      <c r="D189" s="1">
        <v>45501</v>
      </c>
      <c r="E189" s="2">
        <v>0.95833333333333326</v>
      </c>
      <c r="F189" t="s">
        <v>46</v>
      </c>
      <c r="G189" t="s">
        <v>45</v>
      </c>
      <c r="H189">
        <v>1</v>
      </c>
      <c r="I189">
        <v>0</v>
      </c>
      <c r="J189" t="s">
        <v>33</v>
      </c>
      <c r="K189">
        <v>207</v>
      </c>
      <c r="L189">
        <v>333</v>
      </c>
      <c r="M189">
        <v>399</v>
      </c>
      <c r="N189">
        <v>215</v>
      </c>
      <c r="O189">
        <v>339</v>
      </c>
      <c r="P189">
        <v>418</v>
      </c>
      <c r="Q189">
        <v>204</v>
      </c>
      <c r="R189">
        <v>326</v>
      </c>
      <c r="S189">
        <v>383</v>
      </c>
      <c r="T189" t="s">
        <v>125</v>
      </c>
      <c r="U189" t="s">
        <v>55</v>
      </c>
      <c r="V189" t="s">
        <v>63</v>
      </c>
      <c r="W189" t="s">
        <v>30</v>
      </c>
      <c r="X189" t="s">
        <v>30</v>
      </c>
      <c r="Y189" t="s">
        <v>30</v>
      </c>
    </row>
    <row r="190" spans="1:25" x14ac:dyDescent="0.25">
      <c r="A190" t="s">
        <v>25</v>
      </c>
      <c r="B190" t="s">
        <v>26</v>
      </c>
      <c r="C190">
        <v>2024</v>
      </c>
      <c r="D190" s="1">
        <v>45507</v>
      </c>
      <c r="E190" s="2">
        <v>0.83333333333333326</v>
      </c>
      <c r="F190" t="s">
        <v>49</v>
      </c>
      <c r="G190" t="s">
        <v>40</v>
      </c>
      <c r="H190">
        <v>1</v>
      </c>
      <c r="I190">
        <v>0</v>
      </c>
      <c r="J190" t="s">
        <v>33</v>
      </c>
      <c r="K190">
        <v>293</v>
      </c>
      <c r="L190">
        <v>293</v>
      </c>
      <c r="M190">
        <v>285</v>
      </c>
      <c r="N190">
        <v>295</v>
      </c>
      <c r="O190">
        <v>305</v>
      </c>
      <c r="P190">
        <v>294</v>
      </c>
      <c r="Q190">
        <v>285</v>
      </c>
      <c r="R190">
        <v>29</v>
      </c>
      <c r="S190">
        <v>278</v>
      </c>
      <c r="T190" t="s">
        <v>107</v>
      </c>
      <c r="U190" t="s">
        <v>107</v>
      </c>
      <c r="V190" t="s">
        <v>109</v>
      </c>
      <c r="W190" t="s">
        <v>30</v>
      </c>
      <c r="X190" t="s">
        <v>30</v>
      </c>
      <c r="Y190" t="s">
        <v>30</v>
      </c>
    </row>
    <row r="191" spans="1:25" x14ac:dyDescent="0.25">
      <c r="A191" t="s">
        <v>25</v>
      </c>
      <c r="B191" t="s">
        <v>26</v>
      </c>
      <c r="C191">
        <v>2024</v>
      </c>
      <c r="D191" s="1">
        <v>45507</v>
      </c>
      <c r="E191" s="2">
        <v>0.95833333333333326</v>
      </c>
      <c r="F191" t="s">
        <v>45</v>
      </c>
      <c r="G191" t="s">
        <v>35</v>
      </c>
      <c r="H191">
        <v>2</v>
      </c>
      <c r="I191">
        <v>2</v>
      </c>
      <c r="J191" t="s">
        <v>29</v>
      </c>
      <c r="K191">
        <v>195</v>
      </c>
      <c r="L191">
        <v>396</v>
      </c>
      <c r="M191">
        <v>37</v>
      </c>
      <c r="N191">
        <v>2</v>
      </c>
      <c r="O191">
        <v>398</v>
      </c>
      <c r="P191">
        <v>392</v>
      </c>
      <c r="Q191">
        <v>193</v>
      </c>
      <c r="R191">
        <v>384</v>
      </c>
      <c r="S191">
        <v>363</v>
      </c>
      <c r="T191" t="s">
        <v>126</v>
      </c>
      <c r="U191" t="s">
        <v>65</v>
      </c>
      <c r="V191" t="s">
        <v>77</v>
      </c>
      <c r="W191" t="s">
        <v>30</v>
      </c>
      <c r="X191" t="s">
        <v>30</v>
      </c>
      <c r="Y191" t="s">
        <v>30</v>
      </c>
    </row>
    <row r="192" spans="1:25" x14ac:dyDescent="0.25">
      <c r="A192" t="s">
        <v>25</v>
      </c>
      <c r="B192" t="s">
        <v>26</v>
      </c>
      <c r="C192">
        <v>2024</v>
      </c>
      <c r="D192" s="1">
        <v>45508</v>
      </c>
      <c r="E192" s="2">
        <v>0</v>
      </c>
      <c r="F192" t="s">
        <v>41</v>
      </c>
      <c r="G192" t="s">
        <v>48</v>
      </c>
      <c r="H192">
        <v>1</v>
      </c>
      <c r="I192">
        <v>4</v>
      </c>
      <c r="J192" t="s">
        <v>38</v>
      </c>
      <c r="K192">
        <v>293</v>
      </c>
      <c r="L192">
        <v>315</v>
      </c>
      <c r="M192">
        <v>267</v>
      </c>
      <c r="N192">
        <v>314</v>
      </c>
      <c r="O192">
        <v>323</v>
      </c>
      <c r="P192">
        <v>267</v>
      </c>
      <c r="Q192">
        <v>294</v>
      </c>
      <c r="R192">
        <v>312</v>
      </c>
      <c r="S192">
        <v>253</v>
      </c>
      <c r="T192" t="s">
        <v>107</v>
      </c>
      <c r="U192" t="s">
        <v>52</v>
      </c>
      <c r="V192" t="s">
        <v>127</v>
      </c>
      <c r="W192" t="s">
        <v>30</v>
      </c>
      <c r="X192" t="s">
        <v>30</v>
      </c>
      <c r="Y192" t="s">
        <v>30</v>
      </c>
    </row>
    <row r="193" spans="1:25" x14ac:dyDescent="0.25">
      <c r="A193" t="s">
        <v>25</v>
      </c>
      <c r="B193" t="s">
        <v>26</v>
      </c>
      <c r="C193">
        <v>2024</v>
      </c>
      <c r="D193" s="1">
        <v>45508</v>
      </c>
      <c r="E193" s="2">
        <v>0</v>
      </c>
      <c r="F193" t="s">
        <v>27</v>
      </c>
      <c r="G193" t="s">
        <v>44</v>
      </c>
      <c r="H193">
        <v>2</v>
      </c>
      <c r="I193">
        <v>1</v>
      </c>
      <c r="J193" t="s">
        <v>33</v>
      </c>
      <c r="K193">
        <v>406</v>
      </c>
      <c r="L193">
        <v>344</v>
      </c>
      <c r="M193">
        <v>201</v>
      </c>
      <c r="N193">
        <v>413</v>
      </c>
      <c r="O193">
        <v>356</v>
      </c>
      <c r="P193">
        <v>201</v>
      </c>
      <c r="Q193">
        <v>397</v>
      </c>
      <c r="R193">
        <v>34</v>
      </c>
      <c r="S193">
        <v>196</v>
      </c>
      <c r="T193" t="s">
        <v>83</v>
      </c>
      <c r="U193" t="s">
        <v>74</v>
      </c>
      <c r="V193" t="s">
        <v>126</v>
      </c>
      <c r="W193" t="s">
        <v>30</v>
      </c>
      <c r="X193" t="s">
        <v>30</v>
      </c>
      <c r="Y193" t="s">
        <v>30</v>
      </c>
    </row>
    <row r="194" spans="1:25" x14ac:dyDescent="0.25">
      <c r="A194" t="s">
        <v>25</v>
      </c>
      <c r="B194" t="s">
        <v>26</v>
      </c>
      <c r="C194">
        <v>2024</v>
      </c>
      <c r="D194" s="1">
        <v>45508</v>
      </c>
      <c r="E194" s="2">
        <v>6.25E-2</v>
      </c>
      <c r="F194" t="s">
        <v>36</v>
      </c>
      <c r="G194" t="s">
        <v>42</v>
      </c>
      <c r="H194">
        <v>1</v>
      </c>
      <c r="I194">
        <v>0</v>
      </c>
      <c r="J194" t="s">
        <v>33</v>
      </c>
      <c r="K194">
        <v>225</v>
      </c>
      <c r="L194">
        <v>311</v>
      </c>
      <c r="M194">
        <v>375</v>
      </c>
      <c r="N194">
        <v>229</v>
      </c>
      <c r="O194">
        <v>311</v>
      </c>
      <c r="P194">
        <v>39</v>
      </c>
      <c r="Q194">
        <v>221</v>
      </c>
      <c r="R194">
        <v>301</v>
      </c>
      <c r="S194">
        <v>371</v>
      </c>
      <c r="T194" t="s">
        <v>128</v>
      </c>
      <c r="U194" t="s">
        <v>57</v>
      </c>
      <c r="V194" t="s">
        <v>65</v>
      </c>
      <c r="W194" t="s">
        <v>30</v>
      </c>
      <c r="X194" t="s">
        <v>30</v>
      </c>
      <c r="Y194" t="s">
        <v>30</v>
      </c>
    </row>
    <row r="195" spans="1:25" x14ac:dyDescent="0.25">
      <c r="A195" t="s">
        <v>25</v>
      </c>
      <c r="B195" t="s">
        <v>26</v>
      </c>
      <c r="C195">
        <v>2024</v>
      </c>
      <c r="D195" s="1">
        <v>45508</v>
      </c>
      <c r="E195" s="2">
        <v>0.83333333333333326</v>
      </c>
      <c r="F195" t="s">
        <v>39</v>
      </c>
      <c r="G195" t="s">
        <v>46</v>
      </c>
      <c r="H195">
        <v>0</v>
      </c>
      <c r="I195">
        <v>2</v>
      </c>
      <c r="J195" t="s">
        <v>38</v>
      </c>
      <c r="K195">
        <v>169</v>
      </c>
      <c r="L195">
        <v>386</v>
      </c>
      <c r="M195">
        <v>535</v>
      </c>
      <c r="N195">
        <v>172</v>
      </c>
      <c r="O195">
        <v>412</v>
      </c>
      <c r="P195">
        <v>57</v>
      </c>
      <c r="Q195">
        <v>165</v>
      </c>
      <c r="R195">
        <v>385</v>
      </c>
      <c r="S195">
        <v>524</v>
      </c>
      <c r="T195" t="s">
        <v>129</v>
      </c>
      <c r="U195" t="s">
        <v>83</v>
      </c>
      <c r="V195" t="s">
        <v>130</v>
      </c>
      <c r="W195" t="s">
        <v>30</v>
      </c>
      <c r="X195" t="s">
        <v>30</v>
      </c>
      <c r="Y195" t="s">
        <v>30</v>
      </c>
    </row>
    <row r="196" spans="1:25" x14ac:dyDescent="0.25">
      <c r="A196" t="s">
        <v>25</v>
      </c>
      <c r="B196" t="s">
        <v>26</v>
      </c>
      <c r="C196">
        <v>2024</v>
      </c>
      <c r="D196" s="1">
        <v>45508</v>
      </c>
      <c r="E196" s="2">
        <v>0.83333333333333326</v>
      </c>
      <c r="F196" t="s">
        <v>43</v>
      </c>
      <c r="G196" t="s">
        <v>28</v>
      </c>
      <c r="H196">
        <v>1</v>
      </c>
      <c r="I196">
        <v>1</v>
      </c>
      <c r="J196" t="s">
        <v>29</v>
      </c>
      <c r="K196">
        <v>165</v>
      </c>
      <c r="L196">
        <v>37</v>
      </c>
      <c r="M196">
        <v>618</v>
      </c>
      <c r="N196">
        <v>17</v>
      </c>
      <c r="O196">
        <v>386</v>
      </c>
      <c r="P196">
        <v>618</v>
      </c>
      <c r="Q196">
        <v>165</v>
      </c>
      <c r="R196">
        <v>368</v>
      </c>
      <c r="S196">
        <v>564</v>
      </c>
      <c r="T196" t="s">
        <v>70</v>
      </c>
      <c r="U196" t="s">
        <v>65</v>
      </c>
      <c r="V196" t="s">
        <v>131</v>
      </c>
      <c r="W196" t="s">
        <v>30</v>
      </c>
      <c r="X196" t="s">
        <v>30</v>
      </c>
      <c r="Y196" t="s">
        <v>30</v>
      </c>
    </row>
    <row r="197" spans="1:25" x14ac:dyDescent="0.25">
      <c r="A197" t="s">
        <v>25</v>
      </c>
      <c r="B197" t="s">
        <v>26</v>
      </c>
      <c r="C197">
        <v>2024</v>
      </c>
      <c r="D197" s="1">
        <v>45508</v>
      </c>
      <c r="E197" s="2">
        <v>0.83333333333333326</v>
      </c>
      <c r="F197" t="s">
        <v>34</v>
      </c>
      <c r="G197" t="s">
        <v>32</v>
      </c>
      <c r="H197">
        <v>1</v>
      </c>
      <c r="I197">
        <v>0</v>
      </c>
      <c r="J197" t="s">
        <v>33</v>
      </c>
      <c r="K197">
        <v>209</v>
      </c>
      <c r="L197">
        <v>333</v>
      </c>
      <c r="M197">
        <v>392</v>
      </c>
      <c r="N197">
        <v>215</v>
      </c>
      <c r="O197">
        <v>34</v>
      </c>
      <c r="P197">
        <v>398</v>
      </c>
      <c r="Q197">
        <v>208</v>
      </c>
      <c r="R197">
        <v>327</v>
      </c>
      <c r="S197">
        <v>372</v>
      </c>
      <c r="T197" t="s">
        <v>132</v>
      </c>
      <c r="U197" t="s">
        <v>80</v>
      </c>
      <c r="V197" t="s">
        <v>133</v>
      </c>
      <c r="W197" t="s">
        <v>30</v>
      </c>
      <c r="X197" t="s">
        <v>30</v>
      </c>
      <c r="Y197" t="s">
        <v>30</v>
      </c>
    </row>
    <row r="198" spans="1:25" x14ac:dyDescent="0.25">
      <c r="A198" t="s">
        <v>25</v>
      </c>
      <c r="B198" t="s">
        <v>26</v>
      </c>
      <c r="C198">
        <v>2024</v>
      </c>
      <c r="D198" s="1">
        <v>45508</v>
      </c>
      <c r="E198" s="2">
        <v>0.875</v>
      </c>
      <c r="F198" t="s">
        <v>31</v>
      </c>
      <c r="G198" t="s">
        <v>50</v>
      </c>
      <c r="H198">
        <v>1</v>
      </c>
      <c r="I198">
        <v>1</v>
      </c>
      <c r="J198" t="s">
        <v>29</v>
      </c>
      <c r="K198">
        <v>235</v>
      </c>
      <c r="L198">
        <v>324</v>
      </c>
      <c r="M198">
        <v>335</v>
      </c>
      <c r="N198">
        <v>25</v>
      </c>
      <c r="O198">
        <v>33</v>
      </c>
      <c r="P198">
        <v>335</v>
      </c>
      <c r="Q198">
        <v>234</v>
      </c>
      <c r="R198">
        <v>318</v>
      </c>
      <c r="S198">
        <v>317</v>
      </c>
      <c r="T198" t="s">
        <v>119</v>
      </c>
      <c r="U198" t="s">
        <v>57</v>
      </c>
      <c r="V198" t="s">
        <v>97</v>
      </c>
      <c r="W198" t="s">
        <v>30</v>
      </c>
      <c r="X198" t="s">
        <v>30</v>
      </c>
      <c r="Y198" t="s">
        <v>30</v>
      </c>
    </row>
    <row r="199" spans="1:25" x14ac:dyDescent="0.25">
      <c r="A199" t="s">
        <v>25</v>
      </c>
      <c r="B199" t="s">
        <v>26</v>
      </c>
      <c r="C199">
        <v>2024</v>
      </c>
      <c r="D199" s="1">
        <v>45510</v>
      </c>
      <c r="E199" s="2">
        <v>4.1666666666666664E-2</v>
      </c>
      <c r="F199" t="s">
        <v>47</v>
      </c>
      <c r="G199" t="s">
        <v>37</v>
      </c>
      <c r="H199">
        <v>1</v>
      </c>
      <c r="I199">
        <v>2</v>
      </c>
      <c r="J199" t="s">
        <v>38</v>
      </c>
      <c r="K199">
        <v>189</v>
      </c>
      <c r="L199">
        <v>342</v>
      </c>
      <c r="M199">
        <v>468</v>
      </c>
      <c r="N199">
        <v>194</v>
      </c>
      <c r="O199">
        <v>352</v>
      </c>
      <c r="P199">
        <v>47</v>
      </c>
      <c r="Q199">
        <v>187</v>
      </c>
      <c r="R199">
        <v>339</v>
      </c>
      <c r="S199">
        <v>438</v>
      </c>
      <c r="T199" t="s">
        <v>134</v>
      </c>
      <c r="U199" t="s">
        <v>58</v>
      </c>
      <c r="V199" t="s">
        <v>90</v>
      </c>
      <c r="W199" t="s">
        <v>30</v>
      </c>
      <c r="X199" t="s">
        <v>30</v>
      </c>
      <c r="Y199" t="s">
        <v>30</v>
      </c>
    </row>
    <row r="200" spans="1:25" x14ac:dyDescent="0.25">
      <c r="A200" t="s">
        <v>25</v>
      </c>
      <c r="B200" t="s">
        <v>26</v>
      </c>
      <c r="C200">
        <v>2024</v>
      </c>
      <c r="D200" s="1">
        <v>45514</v>
      </c>
      <c r="E200" s="2">
        <v>0.83333333333333326</v>
      </c>
      <c r="F200" t="s">
        <v>37</v>
      </c>
      <c r="G200" t="s">
        <v>27</v>
      </c>
      <c r="H200">
        <v>1</v>
      </c>
      <c r="I200">
        <v>0</v>
      </c>
      <c r="J200" t="s">
        <v>33</v>
      </c>
      <c r="K200">
        <v>182</v>
      </c>
      <c r="L200">
        <v>34</v>
      </c>
      <c r="M200">
        <v>52</v>
      </c>
      <c r="N200">
        <v>186</v>
      </c>
      <c r="O200">
        <v>361</v>
      </c>
      <c r="P200">
        <v>546</v>
      </c>
      <c r="Q200">
        <v>179</v>
      </c>
      <c r="R200">
        <v>339</v>
      </c>
      <c r="S200">
        <v>491</v>
      </c>
      <c r="T200" t="s">
        <v>135</v>
      </c>
      <c r="U200" t="s">
        <v>81</v>
      </c>
      <c r="V200" t="s">
        <v>98</v>
      </c>
      <c r="W200" t="s">
        <v>30</v>
      </c>
      <c r="X200" t="s">
        <v>30</v>
      </c>
      <c r="Y200" t="s">
        <v>30</v>
      </c>
    </row>
    <row r="201" spans="1:25" x14ac:dyDescent="0.25">
      <c r="A201" t="s">
        <v>25</v>
      </c>
      <c r="B201" t="s">
        <v>26</v>
      </c>
      <c r="C201">
        <v>2024</v>
      </c>
      <c r="D201" s="1">
        <v>45514</v>
      </c>
      <c r="E201" s="2">
        <v>0.95833333333333326</v>
      </c>
      <c r="F201" t="s">
        <v>40</v>
      </c>
      <c r="G201" t="s">
        <v>46</v>
      </c>
      <c r="H201">
        <v>1</v>
      </c>
      <c r="I201">
        <v>3</v>
      </c>
      <c r="J201" t="s">
        <v>38</v>
      </c>
      <c r="K201">
        <v>269</v>
      </c>
      <c r="L201">
        <v>299</v>
      </c>
      <c r="M201">
        <v>307</v>
      </c>
      <c r="N201">
        <v>27</v>
      </c>
      <c r="O201">
        <v>327</v>
      </c>
      <c r="P201">
        <v>381</v>
      </c>
      <c r="Q201">
        <v>253</v>
      </c>
      <c r="R201">
        <v>296</v>
      </c>
      <c r="S201">
        <v>309</v>
      </c>
      <c r="T201" t="s">
        <v>136</v>
      </c>
      <c r="U201" t="s">
        <v>107</v>
      </c>
      <c r="V201" t="s">
        <v>57</v>
      </c>
      <c r="W201" t="s">
        <v>30</v>
      </c>
      <c r="X201" t="s">
        <v>30</v>
      </c>
      <c r="Y201" t="s">
        <v>30</v>
      </c>
    </row>
    <row r="202" spans="1:25" x14ac:dyDescent="0.25">
      <c r="A202" t="s">
        <v>25</v>
      </c>
      <c r="B202" t="s">
        <v>26</v>
      </c>
      <c r="C202">
        <v>2024</v>
      </c>
      <c r="D202" s="1">
        <v>45515</v>
      </c>
      <c r="E202" s="2">
        <v>6.25E-2</v>
      </c>
      <c r="F202" t="s">
        <v>43</v>
      </c>
      <c r="G202" t="s">
        <v>35</v>
      </c>
      <c r="H202">
        <v>1</v>
      </c>
      <c r="I202">
        <v>1</v>
      </c>
      <c r="J202" t="s">
        <v>29</v>
      </c>
      <c r="K202">
        <v>224</v>
      </c>
      <c r="L202">
        <v>307</v>
      </c>
      <c r="M202">
        <v>384</v>
      </c>
      <c r="N202">
        <v>225</v>
      </c>
      <c r="O202">
        <v>32</v>
      </c>
      <c r="P202">
        <v>4</v>
      </c>
      <c r="Q202">
        <v>216</v>
      </c>
      <c r="R202">
        <v>306</v>
      </c>
      <c r="S202">
        <v>375</v>
      </c>
      <c r="T202" t="s">
        <v>106</v>
      </c>
      <c r="U202" t="s">
        <v>68</v>
      </c>
      <c r="V202" t="s">
        <v>83</v>
      </c>
      <c r="W202" t="s">
        <v>30</v>
      </c>
      <c r="X202" t="s">
        <v>30</v>
      </c>
      <c r="Y202" t="s">
        <v>30</v>
      </c>
    </row>
    <row r="203" spans="1:25" x14ac:dyDescent="0.25">
      <c r="A203" t="s">
        <v>25</v>
      </c>
      <c r="B203" t="s">
        <v>26</v>
      </c>
      <c r="C203">
        <v>2024</v>
      </c>
      <c r="D203" s="1">
        <v>45515</v>
      </c>
      <c r="E203" s="2">
        <v>6.25E-2</v>
      </c>
      <c r="F203" t="s">
        <v>47</v>
      </c>
      <c r="G203" t="s">
        <v>44</v>
      </c>
      <c r="H203">
        <v>0</v>
      </c>
      <c r="I203">
        <v>0</v>
      </c>
      <c r="J203" t="s">
        <v>29</v>
      </c>
      <c r="K203">
        <v>237</v>
      </c>
      <c r="L203">
        <v>305</v>
      </c>
      <c r="M203">
        <v>353</v>
      </c>
      <c r="N203">
        <v>237</v>
      </c>
      <c r="O203">
        <v>33</v>
      </c>
      <c r="P203">
        <v>375</v>
      </c>
      <c r="Q203">
        <v>231</v>
      </c>
      <c r="R203">
        <v>3</v>
      </c>
      <c r="S203">
        <v>344</v>
      </c>
      <c r="T203" t="s">
        <v>124</v>
      </c>
      <c r="U203" t="s">
        <v>53</v>
      </c>
      <c r="V203" t="s">
        <v>137</v>
      </c>
      <c r="W203" t="s">
        <v>30</v>
      </c>
      <c r="X203" t="s">
        <v>30</v>
      </c>
      <c r="Y203" t="s">
        <v>30</v>
      </c>
    </row>
    <row r="204" spans="1:25" x14ac:dyDescent="0.25">
      <c r="A204" t="s">
        <v>25</v>
      </c>
      <c r="B204" t="s">
        <v>26</v>
      </c>
      <c r="C204">
        <v>2024</v>
      </c>
      <c r="D204" s="1">
        <v>45515</v>
      </c>
      <c r="E204" s="2">
        <v>6.25E-2</v>
      </c>
      <c r="F204" t="s">
        <v>45</v>
      </c>
      <c r="G204" t="s">
        <v>34</v>
      </c>
      <c r="H204">
        <v>2</v>
      </c>
      <c r="I204">
        <v>0</v>
      </c>
      <c r="J204" t="s">
        <v>33</v>
      </c>
      <c r="K204">
        <v>275</v>
      </c>
      <c r="L204">
        <v>302</v>
      </c>
      <c r="M204">
        <v>295</v>
      </c>
      <c r="N204">
        <v>288</v>
      </c>
      <c r="O204">
        <v>318</v>
      </c>
      <c r="P204">
        <v>302</v>
      </c>
      <c r="Q204">
        <v>268</v>
      </c>
      <c r="R204">
        <v>299</v>
      </c>
      <c r="S204">
        <v>286</v>
      </c>
      <c r="T204" t="s">
        <v>138</v>
      </c>
      <c r="U204" t="s">
        <v>85</v>
      </c>
      <c r="V204" t="s">
        <v>53</v>
      </c>
      <c r="W204" t="s">
        <v>30</v>
      </c>
      <c r="X204" t="s">
        <v>30</v>
      </c>
      <c r="Y204" t="s">
        <v>30</v>
      </c>
    </row>
    <row r="205" spans="1:25" x14ac:dyDescent="0.25">
      <c r="A205" t="s">
        <v>25</v>
      </c>
      <c r="B205" t="s">
        <v>26</v>
      </c>
      <c r="C205">
        <v>2024</v>
      </c>
      <c r="D205" s="1">
        <v>45515</v>
      </c>
      <c r="E205" s="2">
        <v>0.625</v>
      </c>
      <c r="F205" t="s">
        <v>28</v>
      </c>
      <c r="G205" t="s">
        <v>48</v>
      </c>
      <c r="H205">
        <v>3</v>
      </c>
      <c r="I205">
        <v>2</v>
      </c>
      <c r="J205" t="s">
        <v>33</v>
      </c>
      <c r="K205">
        <v>385</v>
      </c>
      <c r="L205">
        <v>336</v>
      </c>
      <c r="M205">
        <v>21</v>
      </c>
      <c r="N205">
        <v>42</v>
      </c>
      <c r="O205">
        <v>348</v>
      </c>
      <c r="P205">
        <v>225</v>
      </c>
      <c r="Q205">
        <v>378</v>
      </c>
      <c r="R205">
        <v>334</v>
      </c>
      <c r="S205">
        <v>202</v>
      </c>
      <c r="T205" t="s">
        <v>83</v>
      </c>
      <c r="U205" t="s">
        <v>97</v>
      </c>
      <c r="V205" t="s">
        <v>125</v>
      </c>
      <c r="W205" t="s">
        <v>30</v>
      </c>
      <c r="X205" t="s">
        <v>30</v>
      </c>
      <c r="Y205" t="s">
        <v>30</v>
      </c>
    </row>
    <row r="206" spans="1:25" x14ac:dyDescent="0.25">
      <c r="A206" t="s">
        <v>25</v>
      </c>
      <c r="B206" t="s">
        <v>26</v>
      </c>
      <c r="C206">
        <v>2024</v>
      </c>
      <c r="D206" s="1">
        <v>45515</v>
      </c>
      <c r="E206" s="2">
        <v>0.83333333333333326</v>
      </c>
      <c r="F206" t="s">
        <v>32</v>
      </c>
      <c r="G206" t="s">
        <v>49</v>
      </c>
      <c r="H206">
        <v>2</v>
      </c>
      <c r="I206">
        <v>0</v>
      </c>
      <c r="J206" t="s">
        <v>33</v>
      </c>
      <c r="K206">
        <v>166</v>
      </c>
      <c r="L206">
        <v>369</v>
      </c>
      <c r="M206">
        <v>606</v>
      </c>
      <c r="N206">
        <v>169</v>
      </c>
      <c r="O206">
        <v>376</v>
      </c>
      <c r="P206">
        <v>633</v>
      </c>
      <c r="Q206">
        <v>164</v>
      </c>
      <c r="R206">
        <v>363</v>
      </c>
      <c r="S206">
        <v>575</v>
      </c>
      <c r="T206" t="s">
        <v>70</v>
      </c>
      <c r="U206" t="s">
        <v>71</v>
      </c>
      <c r="V206" t="s">
        <v>66</v>
      </c>
      <c r="W206" t="s">
        <v>30</v>
      </c>
      <c r="X206" t="s">
        <v>30</v>
      </c>
      <c r="Y206" t="s">
        <v>30</v>
      </c>
    </row>
    <row r="207" spans="1:25" x14ac:dyDescent="0.25">
      <c r="A207" t="s">
        <v>25</v>
      </c>
      <c r="B207" t="s">
        <v>26</v>
      </c>
      <c r="C207">
        <v>2024</v>
      </c>
      <c r="D207" s="1">
        <v>45515</v>
      </c>
      <c r="E207" s="2">
        <v>0.83333333333333326</v>
      </c>
      <c r="F207" t="s">
        <v>42</v>
      </c>
      <c r="G207" t="s">
        <v>50</v>
      </c>
      <c r="H207">
        <v>1</v>
      </c>
      <c r="I207">
        <v>1</v>
      </c>
      <c r="J207" t="s">
        <v>29</v>
      </c>
      <c r="K207">
        <v>174</v>
      </c>
      <c r="L207">
        <v>362</v>
      </c>
      <c r="M207">
        <v>544</v>
      </c>
      <c r="N207">
        <v>198</v>
      </c>
      <c r="O207">
        <v>369</v>
      </c>
      <c r="P207">
        <v>55</v>
      </c>
      <c r="Q207">
        <v>173</v>
      </c>
      <c r="R207">
        <v>356</v>
      </c>
      <c r="S207">
        <v>504</v>
      </c>
      <c r="T207" t="s">
        <v>139</v>
      </c>
      <c r="U207" t="s">
        <v>77</v>
      </c>
      <c r="V207" t="s">
        <v>130</v>
      </c>
      <c r="W207" t="s">
        <v>30</v>
      </c>
      <c r="X207" t="s">
        <v>30</v>
      </c>
      <c r="Y207" t="s">
        <v>30</v>
      </c>
    </row>
    <row r="208" spans="1:25" x14ac:dyDescent="0.25">
      <c r="A208" t="s">
        <v>25</v>
      </c>
      <c r="B208" t="s">
        <v>26</v>
      </c>
      <c r="C208">
        <v>2024</v>
      </c>
      <c r="D208" s="1">
        <v>45515</v>
      </c>
      <c r="E208" s="2">
        <v>0.83333333333333326</v>
      </c>
      <c r="F208" t="s">
        <v>36</v>
      </c>
      <c r="G208" t="s">
        <v>41</v>
      </c>
      <c r="H208">
        <v>1</v>
      </c>
      <c r="I208">
        <v>0</v>
      </c>
      <c r="J208" t="s">
        <v>33</v>
      </c>
      <c r="K208">
        <v>196</v>
      </c>
      <c r="L208">
        <v>331</v>
      </c>
      <c r="M208">
        <v>45</v>
      </c>
      <c r="N208">
        <v>2</v>
      </c>
      <c r="O208">
        <v>385</v>
      </c>
      <c r="P208">
        <v>628</v>
      </c>
      <c r="Q208">
        <v>189</v>
      </c>
      <c r="R208">
        <v>331</v>
      </c>
      <c r="S208">
        <v>444</v>
      </c>
      <c r="T208" t="s">
        <v>140</v>
      </c>
      <c r="U208" t="s">
        <v>56</v>
      </c>
      <c r="V208" t="s">
        <v>141</v>
      </c>
      <c r="W208" t="s">
        <v>30</v>
      </c>
      <c r="X208" t="s">
        <v>30</v>
      </c>
      <c r="Y208" t="s">
        <v>30</v>
      </c>
    </row>
    <row r="209" spans="1:25" x14ac:dyDescent="0.25">
      <c r="A209" t="s">
        <v>25</v>
      </c>
      <c r="B209" t="s">
        <v>26</v>
      </c>
      <c r="C209">
        <v>2024</v>
      </c>
      <c r="D209" s="1">
        <v>45515</v>
      </c>
      <c r="E209" s="2">
        <v>0.95833333333333326</v>
      </c>
      <c r="F209" t="s">
        <v>31</v>
      </c>
      <c r="G209" t="s">
        <v>39</v>
      </c>
      <c r="H209">
        <v>2</v>
      </c>
      <c r="I209">
        <v>2</v>
      </c>
      <c r="J209" t="s">
        <v>29</v>
      </c>
      <c r="K209">
        <v>193</v>
      </c>
      <c r="L209">
        <v>335</v>
      </c>
      <c r="M209">
        <v>458</v>
      </c>
      <c r="N209">
        <v>2</v>
      </c>
      <c r="O209">
        <v>337</v>
      </c>
      <c r="P209">
        <v>46</v>
      </c>
      <c r="Q209">
        <v>192</v>
      </c>
      <c r="R209">
        <v>326</v>
      </c>
      <c r="S209">
        <v>432</v>
      </c>
      <c r="T209" t="s">
        <v>92</v>
      </c>
      <c r="U209" t="s">
        <v>97</v>
      </c>
      <c r="V209" t="s">
        <v>141</v>
      </c>
      <c r="W209" t="s">
        <v>30</v>
      </c>
      <c r="X209" t="s">
        <v>30</v>
      </c>
      <c r="Y209" t="s">
        <v>30</v>
      </c>
    </row>
    <row r="210" spans="1:25" x14ac:dyDescent="0.25">
      <c r="A210" t="s">
        <v>25</v>
      </c>
      <c r="B210" t="s">
        <v>26</v>
      </c>
      <c r="C210">
        <v>2024</v>
      </c>
      <c r="D210" s="1">
        <v>45518</v>
      </c>
      <c r="E210" s="2">
        <v>0.97916666666666663</v>
      </c>
      <c r="F210" t="s">
        <v>31</v>
      </c>
      <c r="G210" t="s">
        <v>28</v>
      </c>
      <c r="H210">
        <v>2</v>
      </c>
      <c r="I210">
        <v>1</v>
      </c>
      <c r="J210" t="s">
        <v>33</v>
      </c>
      <c r="K210">
        <v>158</v>
      </c>
      <c r="L210">
        <v>421</v>
      </c>
      <c r="M210">
        <v>598</v>
      </c>
      <c r="N210">
        <v>161</v>
      </c>
      <c r="O210">
        <v>442</v>
      </c>
      <c r="P210">
        <v>6</v>
      </c>
      <c r="Q210">
        <v>157</v>
      </c>
      <c r="R210">
        <v>416</v>
      </c>
      <c r="S210">
        <v>559</v>
      </c>
      <c r="T210" t="s">
        <v>142</v>
      </c>
      <c r="U210" t="s">
        <v>143</v>
      </c>
      <c r="V210" t="s">
        <v>88</v>
      </c>
      <c r="W210" t="s">
        <v>30</v>
      </c>
      <c r="X210" t="s">
        <v>30</v>
      </c>
      <c r="Y210" t="s">
        <v>30</v>
      </c>
    </row>
    <row r="211" spans="1:25" x14ac:dyDescent="0.25">
      <c r="A211" t="s">
        <v>25</v>
      </c>
      <c r="B211" t="s">
        <v>26</v>
      </c>
      <c r="C211">
        <v>2024</v>
      </c>
      <c r="D211" s="1">
        <v>45521</v>
      </c>
      <c r="E211" s="2">
        <v>0.83333333333333326</v>
      </c>
      <c r="F211" t="s">
        <v>44</v>
      </c>
      <c r="G211" t="s">
        <v>40</v>
      </c>
      <c r="H211">
        <v>1</v>
      </c>
      <c r="I211">
        <v>1</v>
      </c>
      <c r="J211" t="s">
        <v>29</v>
      </c>
      <c r="K211">
        <v>188</v>
      </c>
      <c r="L211">
        <v>325</v>
      </c>
      <c r="M211">
        <v>513</v>
      </c>
      <c r="N211">
        <v>196</v>
      </c>
      <c r="O211">
        <v>345</v>
      </c>
      <c r="P211">
        <v>6</v>
      </c>
      <c r="Q211">
        <v>185</v>
      </c>
      <c r="R211">
        <v>321</v>
      </c>
      <c r="S211">
        <v>493</v>
      </c>
      <c r="T211" t="s">
        <v>144</v>
      </c>
      <c r="U211" t="s">
        <v>80</v>
      </c>
      <c r="V211" t="s">
        <v>145</v>
      </c>
      <c r="W211" t="s">
        <v>30</v>
      </c>
      <c r="X211" t="s">
        <v>30</v>
      </c>
      <c r="Y211" t="s">
        <v>30</v>
      </c>
    </row>
    <row r="212" spans="1:25" x14ac:dyDescent="0.25">
      <c r="A212" t="s">
        <v>25</v>
      </c>
      <c r="B212" t="s">
        <v>26</v>
      </c>
      <c r="C212">
        <v>2024</v>
      </c>
      <c r="D212" s="1">
        <v>45521</v>
      </c>
      <c r="E212" s="2">
        <v>0.83333333333333326</v>
      </c>
      <c r="F212" t="s">
        <v>46</v>
      </c>
      <c r="G212" t="s">
        <v>32</v>
      </c>
      <c r="H212">
        <v>0</v>
      </c>
      <c r="I212">
        <v>2</v>
      </c>
      <c r="J212" t="s">
        <v>38</v>
      </c>
      <c r="K212">
        <v>28</v>
      </c>
      <c r="L212">
        <v>328</v>
      </c>
      <c r="M212">
        <v>27</v>
      </c>
      <c r="N212">
        <v>282</v>
      </c>
      <c r="O212">
        <v>328</v>
      </c>
      <c r="P212">
        <v>3</v>
      </c>
      <c r="Q212">
        <v>271</v>
      </c>
      <c r="R212">
        <v>318</v>
      </c>
      <c r="S212">
        <v>269</v>
      </c>
      <c r="T212" t="s">
        <v>146</v>
      </c>
      <c r="U212" t="s">
        <v>80</v>
      </c>
      <c r="V212" t="s">
        <v>108</v>
      </c>
      <c r="W212" t="s">
        <v>30</v>
      </c>
      <c r="X212" t="s">
        <v>30</v>
      </c>
      <c r="Y212" t="s">
        <v>30</v>
      </c>
    </row>
    <row r="213" spans="1:25" x14ac:dyDescent="0.25">
      <c r="A213" t="s">
        <v>25</v>
      </c>
      <c r="B213" t="s">
        <v>26</v>
      </c>
      <c r="C213">
        <v>2024</v>
      </c>
      <c r="D213" s="1">
        <v>45521</v>
      </c>
      <c r="E213" s="2">
        <v>0.9375</v>
      </c>
      <c r="F213" t="s">
        <v>35</v>
      </c>
      <c r="G213" t="s">
        <v>37</v>
      </c>
      <c r="H213">
        <v>1</v>
      </c>
      <c r="I213">
        <v>2</v>
      </c>
      <c r="J213" t="s">
        <v>38</v>
      </c>
      <c r="K213">
        <v>256</v>
      </c>
      <c r="L213">
        <v>323</v>
      </c>
      <c r="M213">
        <v>3</v>
      </c>
      <c r="N213">
        <v>268</v>
      </c>
      <c r="O213">
        <v>325</v>
      </c>
      <c r="P213">
        <v>3</v>
      </c>
      <c r="Q213">
        <v>255</v>
      </c>
      <c r="R213">
        <v>317</v>
      </c>
      <c r="S213">
        <v>287</v>
      </c>
      <c r="T213" t="s">
        <v>147</v>
      </c>
      <c r="U213" t="s">
        <v>57</v>
      </c>
      <c r="V213" t="s">
        <v>53</v>
      </c>
      <c r="W213" t="s">
        <v>30</v>
      </c>
      <c r="X213" t="s">
        <v>30</v>
      </c>
      <c r="Y213" t="s">
        <v>30</v>
      </c>
    </row>
    <row r="214" spans="1:25" x14ac:dyDescent="0.25">
      <c r="A214" t="s">
        <v>25</v>
      </c>
      <c r="B214" t="s">
        <v>26</v>
      </c>
      <c r="C214">
        <v>2024</v>
      </c>
      <c r="D214" s="1">
        <v>45522</v>
      </c>
      <c r="E214" s="2">
        <v>4.1666666666666664E-2</v>
      </c>
      <c r="F214" t="s">
        <v>34</v>
      </c>
      <c r="G214" t="s">
        <v>43</v>
      </c>
      <c r="H214">
        <v>0</v>
      </c>
      <c r="I214">
        <v>0</v>
      </c>
      <c r="J214" t="s">
        <v>29</v>
      </c>
      <c r="K214">
        <v>257</v>
      </c>
      <c r="L214">
        <v>293</v>
      </c>
      <c r="M214">
        <v>33</v>
      </c>
      <c r="N214">
        <v>27</v>
      </c>
      <c r="O214">
        <v>295</v>
      </c>
      <c r="P214">
        <v>335</v>
      </c>
      <c r="Q214">
        <v>253</v>
      </c>
      <c r="R214">
        <v>288</v>
      </c>
      <c r="S214">
        <v>317</v>
      </c>
      <c r="T214" t="s">
        <v>127</v>
      </c>
      <c r="U214" t="s">
        <v>148</v>
      </c>
      <c r="V214" t="s">
        <v>80</v>
      </c>
      <c r="W214" t="s">
        <v>30</v>
      </c>
      <c r="X214" t="s">
        <v>30</v>
      </c>
      <c r="Y214" t="s">
        <v>30</v>
      </c>
    </row>
    <row r="215" spans="1:25" x14ac:dyDescent="0.25">
      <c r="A215" t="s">
        <v>25</v>
      </c>
      <c r="B215" t="s">
        <v>26</v>
      </c>
      <c r="C215">
        <v>2024</v>
      </c>
      <c r="D215" s="1">
        <v>45522</v>
      </c>
      <c r="E215" s="2">
        <v>0.83333333333333326</v>
      </c>
      <c r="F215" t="s">
        <v>41</v>
      </c>
      <c r="G215" t="s">
        <v>31</v>
      </c>
      <c r="H215">
        <v>1</v>
      </c>
      <c r="I215">
        <v>0</v>
      </c>
      <c r="J215" t="s">
        <v>33</v>
      </c>
      <c r="K215">
        <v>303</v>
      </c>
      <c r="L215">
        <v>32</v>
      </c>
      <c r="M215">
        <v>256</v>
      </c>
      <c r="N215">
        <v>32</v>
      </c>
      <c r="O215">
        <v>32</v>
      </c>
      <c r="P215">
        <v>257</v>
      </c>
      <c r="Q215">
        <v>3</v>
      </c>
      <c r="R215">
        <v>31</v>
      </c>
      <c r="S215">
        <v>249</v>
      </c>
      <c r="T215" t="s">
        <v>53</v>
      </c>
      <c r="U215" t="s">
        <v>57</v>
      </c>
      <c r="V215" t="s">
        <v>147</v>
      </c>
      <c r="W215" t="s">
        <v>30</v>
      </c>
      <c r="X215" t="s">
        <v>30</v>
      </c>
      <c r="Y215" t="s">
        <v>30</v>
      </c>
    </row>
    <row r="216" spans="1:25" x14ac:dyDescent="0.25">
      <c r="A216" t="s">
        <v>25</v>
      </c>
      <c r="B216" t="s">
        <v>26</v>
      </c>
      <c r="C216">
        <v>2024</v>
      </c>
      <c r="D216" s="1">
        <v>45522</v>
      </c>
      <c r="E216" s="2">
        <v>0.83333333333333326</v>
      </c>
      <c r="F216" t="s">
        <v>27</v>
      </c>
      <c r="G216" t="s">
        <v>45</v>
      </c>
      <c r="H216">
        <v>2</v>
      </c>
      <c r="I216">
        <v>2</v>
      </c>
      <c r="J216" t="s">
        <v>29</v>
      </c>
      <c r="K216">
        <v>211</v>
      </c>
      <c r="L216">
        <v>328</v>
      </c>
      <c r="M216">
        <v>393</v>
      </c>
      <c r="N216">
        <v>213</v>
      </c>
      <c r="O216">
        <v>34</v>
      </c>
      <c r="P216">
        <v>393</v>
      </c>
      <c r="Q216">
        <v>206</v>
      </c>
      <c r="R216">
        <v>325</v>
      </c>
      <c r="S216">
        <v>377</v>
      </c>
      <c r="T216" t="s">
        <v>72</v>
      </c>
      <c r="U216" t="s">
        <v>80</v>
      </c>
      <c r="V216" t="s">
        <v>83</v>
      </c>
      <c r="W216" t="s">
        <v>30</v>
      </c>
      <c r="X216" t="s">
        <v>30</v>
      </c>
      <c r="Y216" t="s">
        <v>30</v>
      </c>
    </row>
    <row r="217" spans="1:25" x14ac:dyDescent="0.25">
      <c r="A217" t="s">
        <v>25</v>
      </c>
      <c r="B217" t="s">
        <v>26</v>
      </c>
      <c r="C217">
        <v>2024</v>
      </c>
      <c r="D217" s="1">
        <v>45522</v>
      </c>
      <c r="E217" s="2">
        <v>0.83333333333333326</v>
      </c>
      <c r="F217" t="s">
        <v>50</v>
      </c>
      <c r="G217" t="s">
        <v>36</v>
      </c>
      <c r="H217">
        <v>2</v>
      </c>
      <c r="I217">
        <v>1</v>
      </c>
      <c r="J217" t="s">
        <v>33</v>
      </c>
      <c r="K217">
        <v>171</v>
      </c>
      <c r="L217">
        <v>351</v>
      </c>
      <c r="M217">
        <v>592</v>
      </c>
      <c r="N217">
        <v>176</v>
      </c>
      <c r="O217">
        <v>357</v>
      </c>
      <c r="P217">
        <v>6</v>
      </c>
      <c r="Q217">
        <v>17</v>
      </c>
      <c r="R217">
        <v>345</v>
      </c>
      <c r="S217">
        <v>558</v>
      </c>
      <c r="T217" t="s">
        <v>99</v>
      </c>
      <c r="U217" t="s">
        <v>74</v>
      </c>
      <c r="V217" t="s">
        <v>88</v>
      </c>
      <c r="W217" t="s">
        <v>30</v>
      </c>
      <c r="X217" t="s">
        <v>30</v>
      </c>
      <c r="Y217" t="s">
        <v>30</v>
      </c>
    </row>
    <row r="218" spans="1:25" x14ac:dyDescent="0.25">
      <c r="A218" t="s">
        <v>25</v>
      </c>
      <c r="B218" t="s">
        <v>26</v>
      </c>
      <c r="C218">
        <v>2024</v>
      </c>
      <c r="D218" s="1">
        <v>45522</v>
      </c>
      <c r="E218" s="2">
        <v>0.9375</v>
      </c>
      <c r="F218" t="s">
        <v>39</v>
      </c>
      <c r="G218" t="s">
        <v>28</v>
      </c>
      <c r="H218">
        <v>1</v>
      </c>
      <c r="I218">
        <v>2</v>
      </c>
      <c r="J218" t="s">
        <v>38</v>
      </c>
      <c r="K218">
        <v>172</v>
      </c>
      <c r="L218">
        <v>394</v>
      </c>
      <c r="M218">
        <v>494</v>
      </c>
      <c r="N218">
        <v>174</v>
      </c>
      <c r="O218">
        <v>42</v>
      </c>
      <c r="P218">
        <v>56</v>
      </c>
      <c r="Q218">
        <v>168</v>
      </c>
      <c r="R218">
        <v>392</v>
      </c>
      <c r="S218">
        <v>487</v>
      </c>
      <c r="T218" t="s">
        <v>149</v>
      </c>
      <c r="U218" t="s">
        <v>83</v>
      </c>
      <c r="V218" t="s">
        <v>150</v>
      </c>
      <c r="W218" t="s">
        <v>30</v>
      </c>
      <c r="X218" t="s">
        <v>30</v>
      </c>
      <c r="Y218" t="s">
        <v>30</v>
      </c>
    </row>
    <row r="219" spans="1:25" x14ac:dyDescent="0.25">
      <c r="A219" t="s">
        <v>25</v>
      </c>
      <c r="B219" t="s">
        <v>26</v>
      </c>
      <c r="C219">
        <v>2024</v>
      </c>
      <c r="D219" s="1">
        <v>45522</v>
      </c>
      <c r="E219" s="2">
        <v>0.9375</v>
      </c>
      <c r="F219" t="s">
        <v>48</v>
      </c>
      <c r="G219" t="s">
        <v>42</v>
      </c>
      <c r="H219">
        <v>4</v>
      </c>
      <c r="I219">
        <v>1</v>
      </c>
      <c r="J219" t="s">
        <v>33</v>
      </c>
      <c r="K219">
        <v>236</v>
      </c>
      <c r="L219">
        <v>318</v>
      </c>
      <c r="M219">
        <v>338</v>
      </c>
      <c r="N219">
        <v>259</v>
      </c>
      <c r="O219">
        <v>325</v>
      </c>
      <c r="P219">
        <v>339</v>
      </c>
      <c r="Q219">
        <v>238</v>
      </c>
      <c r="R219">
        <v>311</v>
      </c>
      <c r="S219">
        <v>319</v>
      </c>
      <c r="T219" t="s">
        <v>151</v>
      </c>
      <c r="U219" t="s">
        <v>68</v>
      </c>
      <c r="V219" t="s">
        <v>97</v>
      </c>
      <c r="W219" t="s">
        <v>30</v>
      </c>
      <c r="X219" t="s">
        <v>30</v>
      </c>
      <c r="Y219" t="s">
        <v>30</v>
      </c>
    </row>
    <row r="220" spans="1:25" x14ac:dyDescent="0.25">
      <c r="A220" t="s">
        <v>25</v>
      </c>
      <c r="B220" t="s">
        <v>26</v>
      </c>
      <c r="C220">
        <v>2024</v>
      </c>
      <c r="D220" s="1">
        <v>45524</v>
      </c>
      <c r="E220" s="2">
        <v>0</v>
      </c>
      <c r="F220" t="s">
        <v>49</v>
      </c>
      <c r="G220" t="s">
        <v>47</v>
      </c>
      <c r="H220">
        <v>2</v>
      </c>
      <c r="I220">
        <v>2</v>
      </c>
      <c r="J220" t="s">
        <v>29</v>
      </c>
      <c r="K220">
        <v>287</v>
      </c>
      <c r="L220">
        <v>296</v>
      </c>
      <c r="M220">
        <v>289</v>
      </c>
      <c r="N220">
        <v>287</v>
      </c>
      <c r="O220">
        <v>3</v>
      </c>
      <c r="P220">
        <v>29</v>
      </c>
      <c r="Q220">
        <v>279</v>
      </c>
      <c r="R220">
        <v>29</v>
      </c>
      <c r="S220">
        <v>282</v>
      </c>
      <c r="T220" t="s">
        <v>152</v>
      </c>
      <c r="U220" t="s">
        <v>107</v>
      </c>
      <c r="V220" t="s">
        <v>107</v>
      </c>
      <c r="W220" t="s">
        <v>30</v>
      </c>
      <c r="X220" t="s">
        <v>30</v>
      </c>
      <c r="Y220" t="s">
        <v>30</v>
      </c>
    </row>
    <row r="221" spans="1:25" x14ac:dyDescent="0.25">
      <c r="A221" t="s">
        <v>25</v>
      </c>
      <c r="B221" t="s">
        <v>26</v>
      </c>
      <c r="C221">
        <v>2024</v>
      </c>
      <c r="D221" s="1">
        <v>45528</v>
      </c>
      <c r="E221" s="2">
        <v>0.83333333333333326</v>
      </c>
      <c r="F221" t="s">
        <v>41</v>
      </c>
      <c r="G221" t="s">
        <v>28</v>
      </c>
      <c r="H221">
        <v>2</v>
      </c>
      <c r="I221">
        <v>1</v>
      </c>
      <c r="J221" t="s">
        <v>33</v>
      </c>
      <c r="K221">
        <v>181</v>
      </c>
      <c r="L221">
        <v>362</v>
      </c>
      <c r="M221">
        <v>481</v>
      </c>
      <c r="N221">
        <v>19</v>
      </c>
      <c r="O221">
        <v>362</v>
      </c>
      <c r="P221">
        <v>493</v>
      </c>
      <c r="Q221">
        <v>182</v>
      </c>
      <c r="R221">
        <v>349</v>
      </c>
      <c r="S221">
        <v>454</v>
      </c>
      <c r="T221" t="s">
        <v>153</v>
      </c>
      <c r="U221" t="s">
        <v>74</v>
      </c>
      <c r="V221" t="s">
        <v>60</v>
      </c>
      <c r="W221" t="s">
        <v>30</v>
      </c>
      <c r="X221" t="s">
        <v>30</v>
      </c>
      <c r="Y221" t="s">
        <v>30</v>
      </c>
    </row>
    <row r="222" spans="1:25" x14ac:dyDescent="0.25">
      <c r="A222" t="s">
        <v>25</v>
      </c>
      <c r="B222" t="s">
        <v>26</v>
      </c>
      <c r="C222">
        <v>2024</v>
      </c>
      <c r="D222" s="1">
        <v>45528</v>
      </c>
      <c r="E222" s="2">
        <v>0.9375</v>
      </c>
      <c r="F222" t="s">
        <v>50</v>
      </c>
      <c r="G222" t="s">
        <v>40</v>
      </c>
      <c r="H222">
        <v>5</v>
      </c>
      <c r="I222">
        <v>0</v>
      </c>
      <c r="J222" t="s">
        <v>33</v>
      </c>
      <c r="K222">
        <v>144</v>
      </c>
      <c r="L222">
        <v>448</v>
      </c>
      <c r="M222">
        <v>829</v>
      </c>
      <c r="N222">
        <v>149</v>
      </c>
      <c r="O222">
        <v>45</v>
      </c>
      <c r="P222">
        <v>829</v>
      </c>
      <c r="Q222">
        <v>144</v>
      </c>
      <c r="R222">
        <v>431</v>
      </c>
      <c r="S222">
        <v>77</v>
      </c>
      <c r="T222" t="s">
        <v>154</v>
      </c>
      <c r="U222" t="s">
        <v>115</v>
      </c>
      <c r="V222" t="s">
        <v>155</v>
      </c>
      <c r="W222" t="s">
        <v>30</v>
      </c>
      <c r="X222" t="s">
        <v>30</v>
      </c>
      <c r="Y222" t="s">
        <v>30</v>
      </c>
    </row>
    <row r="223" spans="1:25" x14ac:dyDescent="0.25">
      <c r="A223" t="s">
        <v>25</v>
      </c>
      <c r="B223" t="s">
        <v>26</v>
      </c>
      <c r="C223">
        <v>2024</v>
      </c>
      <c r="D223" s="1">
        <v>45529</v>
      </c>
      <c r="E223" s="2">
        <v>4.1666666666666664E-2</v>
      </c>
      <c r="F223" t="s">
        <v>44</v>
      </c>
      <c r="G223" t="s">
        <v>34</v>
      </c>
      <c r="H223">
        <v>0</v>
      </c>
      <c r="I223">
        <v>2</v>
      </c>
      <c r="J223" t="s">
        <v>38</v>
      </c>
      <c r="K223">
        <v>195</v>
      </c>
      <c r="L223">
        <v>323</v>
      </c>
      <c r="M223">
        <v>471</v>
      </c>
      <c r="N223">
        <v>202</v>
      </c>
      <c r="O223">
        <v>325</v>
      </c>
      <c r="P223">
        <v>481</v>
      </c>
      <c r="Q223">
        <v>192</v>
      </c>
      <c r="R223">
        <v>316</v>
      </c>
      <c r="S223">
        <v>455</v>
      </c>
      <c r="T223" t="s">
        <v>75</v>
      </c>
      <c r="U223" t="s">
        <v>52</v>
      </c>
      <c r="V223" t="s">
        <v>90</v>
      </c>
      <c r="W223" t="s">
        <v>30</v>
      </c>
      <c r="X223" t="s">
        <v>30</v>
      </c>
      <c r="Y223" t="s">
        <v>30</v>
      </c>
    </row>
    <row r="224" spans="1:25" x14ac:dyDescent="0.25">
      <c r="A224" t="s">
        <v>25</v>
      </c>
      <c r="B224" t="s">
        <v>26</v>
      </c>
      <c r="C224">
        <v>2024</v>
      </c>
      <c r="D224" s="1">
        <v>45529</v>
      </c>
      <c r="E224" s="2">
        <v>0.83333333333333326</v>
      </c>
      <c r="F224" t="s">
        <v>32</v>
      </c>
      <c r="G224" t="s">
        <v>48</v>
      </c>
      <c r="H224">
        <v>0</v>
      </c>
      <c r="I224">
        <v>0</v>
      </c>
      <c r="J224" t="s">
        <v>29</v>
      </c>
      <c r="K224">
        <v>226</v>
      </c>
      <c r="L224">
        <v>349</v>
      </c>
      <c r="M224">
        <v>327</v>
      </c>
      <c r="N224">
        <v>229</v>
      </c>
      <c r="O224">
        <v>354</v>
      </c>
      <c r="P224">
        <v>334</v>
      </c>
      <c r="Q224">
        <v>222</v>
      </c>
      <c r="R224">
        <v>34</v>
      </c>
      <c r="S224">
        <v>321</v>
      </c>
      <c r="T224" t="s">
        <v>156</v>
      </c>
      <c r="U224" t="s">
        <v>81</v>
      </c>
      <c r="V224" t="s">
        <v>56</v>
      </c>
      <c r="W224" t="s">
        <v>30</v>
      </c>
      <c r="X224" t="s">
        <v>30</v>
      </c>
      <c r="Y224" t="s">
        <v>30</v>
      </c>
    </row>
    <row r="225" spans="1:25" x14ac:dyDescent="0.25">
      <c r="A225" t="s">
        <v>25</v>
      </c>
      <c r="B225" t="s">
        <v>26</v>
      </c>
      <c r="C225">
        <v>2024</v>
      </c>
      <c r="D225" s="1">
        <v>45529</v>
      </c>
      <c r="E225" s="2">
        <v>0.83333333333333326</v>
      </c>
      <c r="F225" t="s">
        <v>27</v>
      </c>
      <c r="G225" t="s">
        <v>46</v>
      </c>
      <c r="H225">
        <v>0</v>
      </c>
      <c r="I225">
        <v>1</v>
      </c>
      <c r="J225" t="s">
        <v>38</v>
      </c>
      <c r="K225">
        <v>279</v>
      </c>
      <c r="L225">
        <v>326</v>
      </c>
      <c r="M225">
        <v>272</v>
      </c>
      <c r="N225">
        <v>287</v>
      </c>
      <c r="O225">
        <v>335</v>
      </c>
      <c r="P225">
        <v>288</v>
      </c>
      <c r="Q225">
        <v>275</v>
      </c>
      <c r="R225">
        <v>321</v>
      </c>
      <c r="S225">
        <v>264</v>
      </c>
      <c r="T225" t="s">
        <v>107</v>
      </c>
      <c r="U225" t="s">
        <v>52</v>
      </c>
      <c r="V225" t="s">
        <v>147</v>
      </c>
      <c r="W225" t="s">
        <v>30</v>
      </c>
      <c r="X225" t="s">
        <v>30</v>
      </c>
      <c r="Y225" t="s">
        <v>30</v>
      </c>
    </row>
    <row r="226" spans="1:25" x14ac:dyDescent="0.25">
      <c r="A226" t="s">
        <v>25</v>
      </c>
      <c r="B226" t="s">
        <v>26</v>
      </c>
      <c r="C226">
        <v>2024</v>
      </c>
      <c r="D226" s="1">
        <v>45529</v>
      </c>
      <c r="E226" s="2">
        <v>0.83333333333333326</v>
      </c>
      <c r="F226" t="s">
        <v>37</v>
      </c>
      <c r="G226" t="s">
        <v>43</v>
      </c>
      <c r="H226">
        <v>1</v>
      </c>
      <c r="I226">
        <v>0</v>
      </c>
      <c r="J226" t="s">
        <v>33</v>
      </c>
      <c r="K226">
        <v>203</v>
      </c>
      <c r="L226">
        <v>323</v>
      </c>
      <c r="M226">
        <v>428</v>
      </c>
      <c r="N226">
        <v>208</v>
      </c>
      <c r="O226">
        <v>34</v>
      </c>
      <c r="P226">
        <v>5</v>
      </c>
      <c r="Q226">
        <v>197</v>
      </c>
      <c r="R226">
        <v>322</v>
      </c>
      <c r="S226">
        <v>421</v>
      </c>
      <c r="T226" t="s">
        <v>102</v>
      </c>
      <c r="U226" t="s">
        <v>80</v>
      </c>
      <c r="V226" t="s">
        <v>111</v>
      </c>
      <c r="W226" t="s">
        <v>30</v>
      </c>
      <c r="X226" t="s">
        <v>30</v>
      </c>
      <c r="Y226" t="s">
        <v>30</v>
      </c>
    </row>
    <row r="227" spans="1:25" x14ac:dyDescent="0.25">
      <c r="A227" t="s">
        <v>25</v>
      </c>
      <c r="B227" t="s">
        <v>26</v>
      </c>
      <c r="C227">
        <v>2024</v>
      </c>
      <c r="D227" s="1">
        <v>45529</v>
      </c>
      <c r="E227" s="2">
        <v>0.9375</v>
      </c>
      <c r="F227" t="s">
        <v>36</v>
      </c>
      <c r="G227" t="s">
        <v>49</v>
      </c>
      <c r="H227">
        <v>2</v>
      </c>
      <c r="I227">
        <v>1</v>
      </c>
      <c r="J227" t="s">
        <v>33</v>
      </c>
      <c r="K227">
        <v>177</v>
      </c>
      <c r="L227">
        <v>36</v>
      </c>
      <c r="M227">
        <v>517</v>
      </c>
      <c r="N227">
        <v>178</v>
      </c>
      <c r="O227">
        <v>367</v>
      </c>
      <c r="P227">
        <v>557</v>
      </c>
      <c r="Q227">
        <v>173</v>
      </c>
      <c r="R227">
        <v>353</v>
      </c>
      <c r="S227">
        <v>509</v>
      </c>
      <c r="T227" t="s">
        <v>99</v>
      </c>
      <c r="U227" t="s">
        <v>104</v>
      </c>
      <c r="V227" t="s">
        <v>131</v>
      </c>
      <c r="W227" t="s">
        <v>30</v>
      </c>
      <c r="X227" t="s">
        <v>30</v>
      </c>
      <c r="Y227" t="s">
        <v>30</v>
      </c>
    </row>
    <row r="228" spans="1:25" x14ac:dyDescent="0.25">
      <c r="A228" t="s">
        <v>25</v>
      </c>
      <c r="B228" t="s">
        <v>26</v>
      </c>
      <c r="C228">
        <v>2024</v>
      </c>
      <c r="D228" s="1">
        <v>45529</v>
      </c>
      <c r="E228" s="2">
        <v>0.95833333333333326</v>
      </c>
      <c r="F228" t="s">
        <v>31</v>
      </c>
      <c r="G228" t="s">
        <v>47</v>
      </c>
      <c r="H228">
        <v>1</v>
      </c>
      <c r="I228">
        <v>0</v>
      </c>
      <c r="J228" t="s">
        <v>33</v>
      </c>
      <c r="K228">
        <v>206</v>
      </c>
      <c r="L228">
        <v>319</v>
      </c>
      <c r="M228">
        <v>426</v>
      </c>
      <c r="N228">
        <v>206</v>
      </c>
      <c r="O228">
        <v>335</v>
      </c>
      <c r="P228">
        <v>44</v>
      </c>
      <c r="Q228">
        <v>2</v>
      </c>
      <c r="R228">
        <v>315</v>
      </c>
      <c r="S228">
        <v>418</v>
      </c>
      <c r="T228" t="s">
        <v>125</v>
      </c>
      <c r="U228" t="s">
        <v>52</v>
      </c>
      <c r="V228" t="s">
        <v>111</v>
      </c>
      <c r="W228" t="s">
        <v>30</v>
      </c>
      <c r="X228" t="s">
        <v>30</v>
      </c>
      <c r="Y228" t="s">
        <v>30</v>
      </c>
    </row>
    <row r="229" spans="1:25" x14ac:dyDescent="0.25">
      <c r="A229" t="s">
        <v>25</v>
      </c>
      <c r="B229" t="s">
        <v>26</v>
      </c>
      <c r="C229">
        <v>2024</v>
      </c>
      <c r="D229" s="1">
        <v>45530</v>
      </c>
      <c r="E229" s="2">
        <v>0</v>
      </c>
      <c r="F229" t="s">
        <v>42</v>
      </c>
      <c r="G229" t="s">
        <v>35</v>
      </c>
      <c r="H229">
        <v>2</v>
      </c>
      <c r="I229">
        <v>1</v>
      </c>
      <c r="J229" t="s">
        <v>33</v>
      </c>
      <c r="K229">
        <v>162</v>
      </c>
      <c r="L229">
        <v>388</v>
      </c>
      <c r="M229">
        <v>616</v>
      </c>
      <c r="N229">
        <v>165</v>
      </c>
      <c r="O229">
        <v>4</v>
      </c>
      <c r="P229">
        <v>657</v>
      </c>
      <c r="Q229">
        <v>161</v>
      </c>
      <c r="R229">
        <v>376</v>
      </c>
      <c r="S229">
        <v>587</v>
      </c>
      <c r="T229" t="s">
        <v>157</v>
      </c>
      <c r="U229" t="s">
        <v>133</v>
      </c>
      <c r="V229" t="s">
        <v>66</v>
      </c>
      <c r="W229" t="s">
        <v>30</v>
      </c>
      <c r="X229" t="s">
        <v>30</v>
      </c>
      <c r="Y229" t="s">
        <v>30</v>
      </c>
    </row>
    <row r="230" spans="1:25" x14ac:dyDescent="0.25">
      <c r="A230" t="s">
        <v>25</v>
      </c>
      <c r="B230" t="s">
        <v>26</v>
      </c>
      <c r="C230">
        <v>2024</v>
      </c>
      <c r="D230" s="1">
        <v>45531</v>
      </c>
      <c r="E230" s="2">
        <v>4.1666666666666664E-2</v>
      </c>
      <c r="F230" t="s">
        <v>45</v>
      </c>
      <c r="G230" t="s">
        <v>39</v>
      </c>
      <c r="H230">
        <v>2</v>
      </c>
      <c r="I230">
        <v>1</v>
      </c>
      <c r="J230" t="s">
        <v>33</v>
      </c>
      <c r="K230">
        <v>222</v>
      </c>
      <c r="L230">
        <v>328</v>
      </c>
      <c r="M230">
        <v>359</v>
      </c>
      <c r="N230">
        <v>225</v>
      </c>
      <c r="O230">
        <v>332</v>
      </c>
      <c r="P230">
        <v>362</v>
      </c>
      <c r="Q230">
        <v>218</v>
      </c>
      <c r="R230">
        <v>323</v>
      </c>
      <c r="S230">
        <v>348</v>
      </c>
      <c r="T230" t="s">
        <v>106</v>
      </c>
      <c r="U230" t="s">
        <v>55</v>
      </c>
      <c r="V230" t="s">
        <v>77</v>
      </c>
      <c r="W230" t="s">
        <v>30</v>
      </c>
      <c r="X230" t="s">
        <v>30</v>
      </c>
      <c r="Y230" t="s">
        <v>30</v>
      </c>
    </row>
    <row r="231" spans="1:25" x14ac:dyDescent="0.25">
      <c r="A231" t="s">
        <v>25</v>
      </c>
      <c r="B231" t="s">
        <v>26</v>
      </c>
      <c r="C231">
        <v>2024</v>
      </c>
      <c r="D231" s="1">
        <v>45532</v>
      </c>
      <c r="E231" s="2">
        <v>0.97916666666666663</v>
      </c>
      <c r="F231" t="s">
        <v>27</v>
      </c>
      <c r="G231" t="s">
        <v>35</v>
      </c>
      <c r="H231">
        <v>1</v>
      </c>
      <c r="I231">
        <v>0</v>
      </c>
      <c r="J231" t="s">
        <v>33</v>
      </c>
      <c r="K231">
        <v>243</v>
      </c>
      <c r="L231">
        <v>32</v>
      </c>
      <c r="M231">
        <v>323</v>
      </c>
      <c r="N231">
        <v>247</v>
      </c>
      <c r="O231">
        <v>338</v>
      </c>
      <c r="P231">
        <v>33</v>
      </c>
      <c r="Q231">
        <v>238</v>
      </c>
      <c r="R231">
        <v>319</v>
      </c>
      <c r="S231">
        <v>312</v>
      </c>
      <c r="T231" t="s">
        <v>124</v>
      </c>
      <c r="U231" t="s">
        <v>56</v>
      </c>
      <c r="V231" t="s">
        <v>80</v>
      </c>
      <c r="W231" t="s">
        <v>30</v>
      </c>
      <c r="X231" t="s">
        <v>30</v>
      </c>
      <c r="Y231" t="s">
        <v>30</v>
      </c>
    </row>
    <row r="232" spans="1:25" x14ac:dyDescent="0.25">
      <c r="A232" t="s">
        <v>25</v>
      </c>
      <c r="B232" t="s">
        <v>26</v>
      </c>
      <c r="C232">
        <v>2024</v>
      </c>
      <c r="D232" s="1">
        <v>45532</v>
      </c>
      <c r="E232" s="2">
        <v>0.97916666666666663</v>
      </c>
      <c r="F232" t="s">
        <v>47</v>
      </c>
      <c r="G232" t="s">
        <v>31</v>
      </c>
      <c r="H232">
        <v>0</v>
      </c>
      <c r="I232">
        <v>0</v>
      </c>
      <c r="J232" t="s">
        <v>29</v>
      </c>
      <c r="K232">
        <v>229</v>
      </c>
      <c r="L232">
        <v>32</v>
      </c>
      <c r="M232">
        <v>352</v>
      </c>
      <c r="N232">
        <v>235</v>
      </c>
      <c r="O232">
        <v>332</v>
      </c>
      <c r="P232">
        <v>356</v>
      </c>
      <c r="Q232">
        <v>226</v>
      </c>
      <c r="R232">
        <v>313</v>
      </c>
      <c r="S232">
        <v>34</v>
      </c>
      <c r="T232" t="s">
        <v>158</v>
      </c>
      <c r="U232" t="s">
        <v>57</v>
      </c>
      <c r="V232" t="s">
        <v>104</v>
      </c>
      <c r="W232" t="s">
        <v>30</v>
      </c>
      <c r="X232" t="s">
        <v>30</v>
      </c>
      <c r="Y232" t="s">
        <v>30</v>
      </c>
    </row>
    <row r="233" spans="1:25" x14ac:dyDescent="0.25">
      <c r="A233" t="s">
        <v>25</v>
      </c>
      <c r="B233" t="s">
        <v>26</v>
      </c>
      <c r="C233">
        <v>2024</v>
      </c>
      <c r="D233" s="1">
        <v>45535</v>
      </c>
      <c r="E233" s="2">
        <v>0.9375</v>
      </c>
      <c r="F233" t="s">
        <v>40</v>
      </c>
      <c r="G233" t="s">
        <v>27</v>
      </c>
      <c r="H233">
        <v>2</v>
      </c>
      <c r="I233">
        <v>1</v>
      </c>
      <c r="J233" t="s">
        <v>33</v>
      </c>
      <c r="K233">
        <v>202</v>
      </c>
      <c r="L233">
        <v>331</v>
      </c>
      <c r="M233">
        <v>419</v>
      </c>
      <c r="N233">
        <v>205</v>
      </c>
      <c r="O233">
        <v>334</v>
      </c>
      <c r="P233">
        <v>429</v>
      </c>
      <c r="Q233">
        <v>2</v>
      </c>
      <c r="R233">
        <v>325</v>
      </c>
      <c r="S233">
        <v>402</v>
      </c>
      <c r="T233" t="s">
        <v>125</v>
      </c>
      <c r="U233" t="s">
        <v>56</v>
      </c>
      <c r="V233" t="s">
        <v>73</v>
      </c>
      <c r="W233" t="s">
        <v>30</v>
      </c>
      <c r="X233" t="s">
        <v>30</v>
      </c>
      <c r="Y233" t="s">
        <v>30</v>
      </c>
    </row>
    <row r="234" spans="1:25" x14ac:dyDescent="0.25">
      <c r="A234" t="s">
        <v>25</v>
      </c>
      <c r="B234" t="s">
        <v>26</v>
      </c>
      <c r="C234">
        <v>2024</v>
      </c>
      <c r="D234" s="1">
        <v>45536</v>
      </c>
      <c r="E234" s="2">
        <v>4.1666666666666664E-2</v>
      </c>
      <c r="F234" t="s">
        <v>48</v>
      </c>
      <c r="G234" t="s">
        <v>37</v>
      </c>
      <c r="H234">
        <v>2</v>
      </c>
      <c r="I234">
        <v>0</v>
      </c>
      <c r="J234" t="s">
        <v>33</v>
      </c>
      <c r="K234">
        <v>158</v>
      </c>
      <c r="L234">
        <v>418</v>
      </c>
      <c r="M234">
        <v>607</v>
      </c>
      <c r="N234">
        <v>17</v>
      </c>
      <c r="O234">
        <v>421</v>
      </c>
      <c r="P234">
        <v>607</v>
      </c>
      <c r="Q234">
        <v>159</v>
      </c>
      <c r="R234">
        <v>397</v>
      </c>
      <c r="S234">
        <v>571</v>
      </c>
      <c r="T234" t="s">
        <v>142</v>
      </c>
      <c r="U234" t="s">
        <v>73</v>
      </c>
      <c r="V234" t="s">
        <v>159</v>
      </c>
      <c r="W234" t="s">
        <v>30</v>
      </c>
      <c r="X234" t="s">
        <v>30</v>
      </c>
      <c r="Y234" t="s">
        <v>30</v>
      </c>
    </row>
    <row r="235" spans="1:25" x14ac:dyDescent="0.25">
      <c r="A235" t="s">
        <v>25</v>
      </c>
      <c r="B235" t="s">
        <v>26</v>
      </c>
      <c r="C235">
        <v>2024</v>
      </c>
      <c r="D235" s="1">
        <v>45536</v>
      </c>
      <c r="E235" s="2">
        <v>0.625</v>
      </c>
      <c r="F235" t="s">
        <v>47</v>
      </c>
      <c r="G235" t="s">
        <v>41</v>
      </c>
      <c r="H235">
        <v>3</v>
      </c>
      <c r="I235">
        <v>1</v>
      </c>
      <c r="J235" t="s">
        <v>33</v>
      </c>
      <c r="K235">
        <v>171</v>
      </c>
      <c r="L235">
        <v>351</v>
      </c>
      <c r="M235">
        <v>596</v>
      </c>
      <c r="N235">
        <v>171</v>
      </c>
      <c r="O235">
        <v>37</v>
      </c>
      <c r="P235">
        <v>65</v>
      </c>
      <c r="Q235">
        <v>164</v>
      </c>
      <c r="R235">
        <v>358</v>
      </c>
      <c r="S235">
        <v>605</v>
      </c>
      <c r="T235" t="s">
        <v>87</v>
      </c>
      <c r="U235" t="s">
        <v>74</v>
      </c>
      <c r="V235" t="s">
        <v>66</v>
      </c>
      <c r="W235" t="s">
        <v>30</v>
      </c>
      <c r="X235" t="s">
        <v>30</v>
      </c>
      <c r="Y235" t="s">
        <v>30</v>
      </c>
    </row>
    <row r="236" spans="1:25" x14ac:dyDescent="0.25">
      <c r="A236" t="s">
        <v>25</v>
      </c>
      <c r="B236" t="s">
        <v>26</v>
      </c>
      <c r="C236">
        <v>2024</v>
      </c>
      <c r="D236" s="1">
        <v>45536</v>
      </c>
      <c r="E236" s="2">
        <v>0.625</v>
      </c>
      <c r="F236" t="s">
        <v>46</v>
      </c>
      <c r="G236" t="s">
        <v>44</v>
      </c>
      <c r="H236">
        <v>2</v>
      </c>
      <c r="I236">
        <v>3</v>
      </c>
      <c r="J236" t="s">
        <v>38</v>
      </c>
      <c r="K236">
        <v>221</v>
      </c>
      <c r="L236">
        <v>302</v>
      </c>
      <c r="M236">
        <v>401</v>
      </c>
      <c r="N236">
        <v>224</v>
      </c>
      <c r="O236">
        <v>31</v>
      </c>
      <c r="P236">
        <v>411</v>
      </c>
      <c r="Q236">
        <v>217</v>
      </c>
      <c r="R236">
        <v>301</v>
      </c>
      <c r="S236">
        <v>38</v>
      </c>
      <c r="T236" t="s">
        <v>160</v>
      </c>
      <c r="U236" t="s">
        <v>69</v>
      </c>
      <c r="V236" t="s">
        <v>65</v>
      </c>
      <c r="W236" t="s">
        <v>30</v>
      </c>
      <c r="X236" t="s">
        <v>30</v>
      </c>
      <c r="Y236" t="s">
        <v>30</v>
      </c>
    </row>
    <row r="237" spans="1:25" x14ac:dyDescent="0.25">
      <c r="A237" t="s">
        <v>25</v>
      </c>
      <c r="B237" t="s">
        <v>26</v>
      </c>
      <c r="C237">
        <v>2024</v>
      </c>
      <c r="D237" s="1">
        <v>45536</v>
      </c>
      <c r="E237" s="2">
        <v>0.83333333333333326</v>
      </c>
      <c r="F237" t="s">
        <v>43</v>
      </c>
      <c r="G237" t="s">
        <v>42</v>
      </c>
      <c r="H237">
        <v>2</v>
      </c>
      <c r="I237">
        <v>1</v>
      </c>
      <c r="J237" t="s">
        <v>33</v>
      </c>
      <c r="K237">
        <v>256</v>
      </c>
      <c r="L237">
        <v>302</v>
      </c>
      <c r="M237">
        <v>321</v>
      </c>
      <c r="N237">
        <v>257</v>
      </c>
      <c r="O237">
        <v>305</v>
      </c>
      <c r="P237">
        <v>324</v>
      </c>
      <c r="Q237">
        <v>252</v>
      </c>
      <c r="R237">
        <v>296</v>
      </c>
      <c r="S237">
        <v>309</v>
      </c>
      <c r="T237" t="s">
        <v>86</v>
      </c>
      <c r="U237" t="s">
        <v>85</v>
      </c>
      <c r="V237" t="s">
        <v>80</v>
      </c>
      <c r="W237" t="s">
        <v>30</v>
      </c>
      <c r="X237" t="s">
        <v>30</v>
      </c>
      <c r="Y237" t="s">
        <v>30</v>
      </c>
    </row>
    <row r="238" spans="1:25" x14ac:dyDescent="0.25">
      <c r="A238" t="s">
        <v>25</v>
      </c>
      <c r="B238" t="s">
        <v>26</v>
      </c>
      <c r="C238">
        <v>2024</v>
      </c>
      <c r="D238" s="1">
        <v>45536</v>
      </c>
      <c r="E238" s="2">
        <v>0.9375</v>
      </c>
      <c r="F238" t="s">
        <v>39</v>
      </c>
      <c r="G238" t="s">
        <v>50</v>
      </c>
      <c r="H238">
        <v>0</v>
      </c>
      <c r="I238">
        <v>2</v>
      </c>
      <c r="J238" t="s">
        <v>38</v>
      </c>
      <c r="K238">
        <v>381</v>
      </c>
      <c r="L238">
        <v>358</v>
      </c>
      <c r="M238">
        <v>203</v>
      </c>
      <c r="N238">
        <v>382</v>
      </c>
      <c r="O238">
        <v>367</v>
      </c>
      <c r="P238">
        <v>223</v>
      </c>
      <c r="Q238">
        <v>359</v>
      </c>
      <c r="R238">
        <v>347</v>
      </c>
      <c r="S238">
        <v>204</v>
      </c>
      <c r="T238" t="s">
        <v>133</v>
      </c>
      <c r="U238" t="s">
        <v>137</v>
      </c>
      <c r="V238" t="s">
        <v>161</v>
      </c>
      <c r="W238" t="s">
        <v>30</v>
      </c>
      <c r="X238" t="s">
        <v>30</v>
      </c>
      <c r="Y238" t="s">
        <v>30</v>
      </c>
    </row>
    <row r="239" spans="1:25" x14ac:dyDescent="0.25">
      <c r="A239" t="s">
        <v>25</v>
      </c>
      <c r="B239" t="s">
        <v>26</v>
      </c>
      <c r="C239">
        <v>2024</v>
      </c>
      <c r="D239" s="1">
        <v>45536</v>
      </c>
      <c r="E239" s="2">
        <v>0.9375</v>
      </c>
      <c r="F239" t="s">
        <v>35</v>
      </c>
      <c r="G239" t="s">
        <v>32</v>
      </c>
      <c r="H239">
        <v>2</v>
      </c>
      <c r="I239">
        <v>1</v>
      </c>
      <c r="J239" t="s">
        <v>33</v>
      </c>
      <c r="K239">
        <v>235</v>
      </c>
      <c r="L239">
        <v>345</v>
      </c>
      <c r="M239">
        <v>315</v>
      </c>
      <c r="N239">
        <v>237</v>
      </c>
      <c r="O239">
        <v>35</v>
      </c>
      <c r="P239">
        <v>323</v>
      </c>
      <c r="Q239">
        <v>23</v>
      </c>
      <c r="R239">
        <v>335</v>
      </c>
      <c r="S239">
        <v>308</v>
      </c>
      <c r="T239" t="s">
        <v>119</v>
      </c>
      <c r="U239" t="s">
        <v>58</v>
      </c>
      <c r="V239" t="s">
        <v>68</v>
      </c>
      <c r="W239" t="s">
        <v>30</v>
      </c>
      <c r="X239" t="s">
        <v>30</v>
      </c>
      <c r="Y239" t="s">
        <v>30</v>
      </c>
    </row>
    <row r="240" spans="1:25" x14ac:dyDescent="0.25">
      <c r="A240" t="s">
        <v>25</v>
      </c>
      <c r="B240" t="s">
        <v>26</v>
      </c>
      <c r="C240">
        <v>2024</v>
      </c>
      <c r="D240" s="1">
        <v>45536</v>
      </c>
      <c r="E240" s="2">
        <v>0.9375</v>
      </c>
      <c r="F240" t="s">
        <v>34</v>
      </c>
      <c r="G240" t="s">
        <v>36</v>
      </c>
      <c r="H240">
        <v>2</v>
      </c>
      <c r="I240">
        <v>0</v>
      </c>
      <c r="J240" t="s">
        <v>33</v>
      </c>
      <c r="K240">
        <v>234</v>
      </c>
      <c r="L240">
        <v>296</v>
      </c>
      <c r="M240">
        <v>374</v>
      </c>
      <c r="N240">
        <v>25</v>
      </c>
      <c r="O240">
        <v>296</v>
      </c>
      <c r="P240">
        <v>381</v>
      </c>
      <c r="Q240">
        <v>236</v>
      </c>
      <c r="R240">
        <v>288</v>
      </c>
      <c r="S240">
        <v>35</v>
      </c>
      <c r="T240" t="s">
        <v>124</v>
      </c>
      <c r="U240" t="s">
        <v>85</v>
      </c>
      <c r="V240" t="s">
        <v>77</v>
      </c>
      <c r="W240" t="s">
        <v>30</v>
      </c>
      <c r="X240" t="s">
        <v>30</v>
      </c>
      <c r="Y240" t="s">
        <v>30</v>
      </c>
    </row>
    <row r="241" spans="1:25" x14ac:dyDescent="0.25">
      <c r="A241" t="s">
        <v>25</v>
      </c>
      <c r="B241" t="s">
        <v>26</v>
      </c>
      <c r="C241">
        <v>2024</v>
      </c>
      <c r="D241" s="1">
        <v>45536</v>
      </c>
      <c r="E241" s="2">
        <v>0.9375</v>
      </c>
      <c r="F241" t="s">
        <v>28</v>
      </c>
      <c r="G241" t="s">
        <v>31</v>
      </c>
      <c r="H241">
        <v>1</v>
      </c>
      <c r="I241">
        <v>3</v>
      </c>
      <c r="J241" t="s">
        <v>38</v>
      </c>
      <c r="K241">
        <v>362</v>
      </c>
      <c r="L241">
        <v>325</v>
      </c>
      <c r="M241">
        <v>222</v>
      </c>
      <c r="N241">
        <v>362</v>
      </c>
      <c r="O241">
        <v>336</v>
      </c>
      <c r="P241">
        <v>227</v>
      </c>
      <c r="Q241">
        <v>343</v>
      </c>
      <c r="R241">
        <v>321</v>
      </c>
      <c r="S241">
        <v>22</v>
      </c>
      <c r="T241" t="s">
        <v>77</v>
      </c>
      <c r="U241" t="s">
        <v>80</v>
      </c>
      <c r="V241" t="s">
        <v>128</v>
      </c>
      <c r="W241" t="s">
        <v>30</v>
      </c>
      <c r="X241" t="s">
        <v>30</v>
      </c>
      <c r="Y241" t="s">
        <v>30</v>
      </c>
    </row>
    <row r="242" spans="1:25" x14ac:dyDescent="0.25">
      <c r="A242" t="s">
        <v>25</v>
      </c>
      <c r="B242" t="s">
        <v>26</v>
      </c>
      <c r="C242">
        <v>2024</v>
      </c>
      <c r="D242" s="1">
        <v>45536</v>
      </c>
      <c r="E242" s="2">
        <v>0.9375</v>
      </c>
      <c r="F242" t="s">
        <v>49</v>
      </c>
      <c r="G242" t="s">
        <v>45</v>
      </c>
      <c r="H242">
        <v>0</v>
      </c>
      <c r="I242">
        <v>1</v>
      </c>
      <c r="J242" t="s">
        <v>38</v>
      </c>
      <c r="K242">
        <v>238</v>
      </c>
      <c r="L242">
        <v>312</v>
      </c>
      <c r="M242">
        <v>343</v>
      </c>
      <c r="N242">
        <v>239</v>
      </c>
      <c r="O242">
        <v>321</v>
      </c>
      <c r="P242">
        <v>343</v>
      </c>
      <c r="Q242">
        <v>23</v>
      </c>
      <c r="R242">
        <v>313</v>
      </c>
      <c r="S242">
        <v>328</v>
      </c>
      <c r="T242" t="s">
        <v>124</v>
      </c>
      <c r="U242" t="s">
        <v>68</v>
      </c>
      <c r="V242" t="s">
        <v>97</v>
      </c>
      <c r="W242" t="s">
        <v>30</v>
      </c>
      <c r="X242" t="s">
        <v>30</v>
      </c>
      <c r="Y242" t="s">
        <v>30</v>
      </c>
    </row>
    <row r="243" spans="1:25" x14ac:dyDescent="0.25">
      <c r="A243" t="s">
        <v>25</v>
      </c>
      <c r="B243" t="s">
        <v>26</v>
      </c>
      <c r="C243">
        <v>2024</v>
      </c>
      <c r="D243" s="1">
        <v>45541</v>
      </c>
      <c r="E243" s="2">
        <v>0</v>
      </c>
      <c r="F243" t="s">
        <v>40</v>
      </c>
      <c r="G243" t="s">
        <v>28</v>
      </c>
      <c r="H243">
        <v>0</v>
      </c>
      <c r="I243">
        <v>0</v>
      </c>
      <c r="J243" t="s">
        <v>29</v>
      </c>
      <c r="K243">
        <v>217</v>
      </c>
      <c r="L243">
        <v>334</v>
      </c>
      <c r="M243">
        <v>365</v>
      </c>
      <c r="N243">
        <v>22</v>
      </c>
      <c r="O243">
        <v>34</v>
      </c>
      <c r="P243">
        <v>377</v>
      </c>
      <c r="Q243">
        <v>211</v>
      </c>
      <c r="R243">
        <v>329</v>
      </c>
      <c r="S243">
        <v>362</v>
      </c>
      <c r="T243" t="s">
        <v>106</v>
      </c>
      <c r="U243" t="s">
        <v>80</v>
      </c>
      <c r="V243" t="s">
        <v>71</v>
      </c>
      <c r="W243" t="s">
        <v>30</v>
      </c>
      <c r="X243" t="s">
        <v>30</v>
      </c>
      <c r="Y243" t="s">
        <v>30</v>
      </c>
    </row>
    <row r="244" spans="1:25" x14ac:dyDescent="0.25">
      <c r="A244" t="s">
        <v>25</v>
      </c>
      <c r="B244" t="s">
        <v>26</v>
      </c>
      <c r="C244">
        <v>2024</v>
      </c>
      <c r="D244" s="1">
        <v>45546</v>
      </c>
      <c r="E244" s="2">
        <v>0.95833333333333326</v>
      </c>
      <c r="F244" t="s">
        <v>31</v>
      </c>
      <c r="G244" t="s">
        <v>37</v>
      </c>
      <c r="H244">
        <v>2</v>
      </c>
      <c r="I244">
        <v>1</v>
      </c>
      <c r="J244" t="s">
        <v>33</v>
      </c>
      <c r="K244">
        <v>2</v>
      </c>
      <c r="L244">
        <v>336</v>
      </c>
      <c r="M244">
        <v>412</v>
      </c>
      <c r="N244">
        <v>206</v>
      </c>
      <c r="O244">
        <v>342</v>
      </c>
      <c r="P244">
        <v>43</v>
      </c>
      <c r="Q244">
        <v>2</v>
      </c>
      <c r="R244">
        <v>33</v>
      </c>
      <c r="S244">
        <v>397</v>
      </c>
      <c r="T244" t="s">
        <v>162</v>
      </c>
      <c r="U244" t="s">
        <v>55</v>
      </c>
      <c r="V244" t="s">
        <v>111</v>
      </c>
      <c r="W244" t="s">
        <v>30</v>
      </c>
      <c r="X244" t="s">
        <v>30</v>
      </c>
      <c r="Y244" t="s">
        <v>30</v>
      </c>
    </row>
    <row r="245" spans="1:25" x14ac:dyDescent="0.25">
      <c r="A245" t="s">
        <v>25</v>
      </c>
      <c r="B245" t="s">
        <v>26</v>
      </c>
      <c r="C245">
        <v>2024</v>
      </c>
      <c r="D245" s="1">
        <v>45549</v>
      </c>
      <c r="E245" s="2">
        <v>0.83333333333333326</v>
      </c>
      <c r="F245" t="s">
        <v>41</v>
      </c>
      <c r="G245" t="s">
        <v>49</v>
      </c>
      <c r="H245">
        <v>0</v>
      </c>
      <c r="I245">
        <v>2</v>
      </c>
      <c r="J245" t="s">
        <v>38</v>
      </c>
      <c r="K245">
        <v>198</v>
      </c>
      <c r="L245">
        <v>335</v>
      </c>
      <c r="M245">
        <v>432</v>
      </c>
      <c r="N245">
        <v>201</v>
      </c>
      <c r="O245">
        <v>345</v>
      </c>
      <c r="P245">
        <v>432</v>
      </c>
      <c r="Q245">
        <v>196</v>
      </c>
      <c r="R245">
        <v>33</v>
      </c>
      <c r="S245">
        <v>409</v>
      </c>
      <c r="T245" t="s">
        <v>163</v>
      </c>
      <c r="U245" t="s">
        <v>97</v>
      </c>
      <c r="V245" t="s">
        <v>111</v>
      </c>
      <c r="W245" t="s">
        <v>30</v>
      </c>
      <c r="X245" t="s">
        <v>30</v>
      </c>
      <c r="Y245" t="s">
        <v>30</v>
      </c>
    </row>
    <row r="246" spans="1:25" x14ac:dyDescent="0.25">
      <c r="A246" t="s">
        <v>25</v>
      </c>
      <c r="B246" t="s">
        <v>26</v>
      </c>
      <c r="C246">
        <v>2024</v>
      </c>
      <c r="D246" s="1">
        <v>45549</v>
      </c>
      <c r="E246" s="2">
        <v>0.9375</v>
      </c>
      <c r="F246" t="s">
        <v>39</v>
      </c>
      <c r="G246" t="s">
        <v>37</v>
      </c>
      <c r="H246">
        <v>1</v>
      </c>
      <c r="I246">
        <v>1</v>
      </c>
      <c r="J246" t="s">
        <v>29</v>
      </c>
      <c r="K246">
        <v>191</v>
      </c>
      <c r="L246">
        <v>365</v>
      </c>
      <c r="M246">
        <v>423</v>
      </c>
      <c r="N246">
        <v>205</v>
      </c>
      <c r="O246">
        <v>379</v>
      </c>
      <c r="P246">
        <v>425</v>
      </c>
      <c r="Q246">
        <v>19</v>
      </c>
      <c r="R246">
        <v>358</v>
      </c>
      <c r="S246">
        <v>399</v>
      </c>
      <c r="T246" t="s">
        <v>75</v>
      </c>
      <c r="U246" t="s">
        <v>137</v>
      </c>
      <c r="V246" t="s">
        <v>111</v>
      </c>
      <c r="W246" t="s">
        <v>30</v>
      </c>
      <c r="X246" t="s">
        <v>30</v>
      </c>
      <c r="Y246" t="s">
        <v>30</v>
      </c>
    </row>
    <row r="247" spans="1:25" x14ac:dyDescent="0.25">
      <c r="A247" t="s">
        <v>25</v>
      </c>
      <c r="B247" t="s">
        <v>26</v>
      </c>
      <c r="C247">
        <v>2024</v>
      </c>
      <c r="D247" s="1">
        <v>45550</v>
      </c>
      <c r="E247" s="2">
        <v>4.1666666666666664E-2</v>
      </c>
      <c r="F247" t="s">
        <v>48</v>
      </c>
      <c r="G247" t="s">
        <v>43</v>
      </c>
      <c r="H247">
        <v>2</v>
      </c>
      <c r="I247">
        <v>1</v>
      </c>
      <c r="J247" t="s">
        <v>33</v>
      </c>
      <c r="K247">
        <v>161</v>
      </c>
      <c r="L247">
        <v>395</v>
      </c>
      <c r="M247">
        <v>617</v>
      </c>
      <c r="N247">
        <v>163</v>
      </c>
      <c r="O247">
        <v>4</v>
      </c>
      <c r="P247">
        <v>65</v>
      </c>
      <c r="Q247">
        <v>159</v>
      </c>
      <c r="R247">
        <v>386</v>
      </c>
      <c r="S247">
        <v>589</v>
      </c>
      <c r="T247" t="s">
        <v>164</v>
      </c>
      <c r="U247" t="s">
        <v>65</v>
      </c>
      <c r="V247" t="s">
        <v>159</v>
      </c>
      <c r="W247" t="s">
        <v>30</v>
      </c>
      <c r="X247" t="s">
        <v>30</v>
      </c>
      <c r="Y247" t="s">
        <v>30</v>
      </c>
    </row>
    <row r="248" spans="1:25" x14ac:dyDescent="0.25">
      <c r="A248" t="s">
        <v>25</v>
      </c>
      <c r="B248" t="s">
        <v>26</v>
      </c>
      <c r="C248">
        <v>2024</v>
      </c>
      <c r="D248" s="1">
        <v>45550</v>
      </c>
      <c r="E248" s="2">
        <v>0.83333333333333326</v>
      </c>
      <c r="F248" t="s">
        <v>35</v>
      </c>
      <c r="G248" t="s">
        <v>46</v>
      </c>
      <c r="H248">
        <v>2</v>
      </c>
      <c r="I248">
        <v>2</v>
      </c>
      <c r="J248" t="s">
        <v>29</v>
      </c>
      <c r="K248">
        <v>256</v>
      </c>
      <c r="L248">
        <v>337</v>
      </c>
      <c r="M248">
        <v>289</v>
      </c>
      <c r="N248">
        <v>256</v>
      </c>
      <c r="O248">
        <v>36</v>
      </c>
      <c r="P248">
        <v>3</v>
      </c>
      <c r="Q248">
        <v>243</v>
      </c>
      <c r="R248">
        <v>334</v>
      </c>
      <c r="S248">
        <v>288</v>
      </c>
      <c r="T248" t="s">
        <v>165</v>
      </c>
      <c r="U248" t="s">
        <v>97</v>
      </c>
      <c r="V248" t="s">
        <v>148</v>
      </c>
      <c r="W248" t="s">
        <v>30</v>
      </c>
      <c r="X248" t="s">
        <v>30</v>
      </c>
      <c r="Y248" t="s">
        <v>30</v>
      </c>
    </row>
    <row r="249" spans="1:25" x14ac:dyDescent="0.25">
      <c r="A249" t="s">
        <v>25</v>
      </c>
      <c r="B249" t="s">
        <v>26</v>
      </c>
      <c r="C249">
        <v>2024</v>
      </c>
      <c r="D249" s="1">
        <v>45550</v>
      </c>
      <c r="E249" s="2">
        <v>0.83333333333333326</v>
      </c>
      <c r="F249" t="s">
        <v>28</v>
      </c>
      <c r="G249" t="s">
        <v>34</v>
      </c>
      <c r="H249">
        <v>2</v>
      </c>
      <c r="I249">
        <v>1</v>
      </c>
      <c r="J249" t="s">
        <v>33</v>
      </c>
      <c r="K249">
        <v>304</v>
      </c>
      <c r="L249">
        <v>323</v>
      </c>
      <c r="M249">
        <v>254</v>
      </c>
      <c r="N249">
        <v>306</v>
      </c>
      <c r="O249">
        <v>355</v>
      </c>
      <c r="P249">
        <v>254</v>
      </c>
      <c r="Q249">
        <v>295</v>
      </c>
      <c r="R249">
        <v>32</v>
      </c>
      <c r="S249">
        <v>246</v>
      </c>
      <c r="T249" t="s">
        <v>69</v>
      </c>
      <c r="U249" t="s">
        <v>52</v>
      </c>
      <c r="V249" t="s">
        <v>165</v>
      </c>
      <c r="W249" t="s">
        <v>30</v>
      </c>
      <c r="X249" t="s">
        <v>30</v>
      </c>
      <c r="Y249" t="s">
        <v>30</v>
      </c>
    </row>
    <row r="250" spans="1:25" x14ac:dyDescent="0.25">
      <c r="A250" t="s">
        <v>25</v>
      </c>
      <c r="B250" t="s">
        <v>26</v>
      </c>
      <c r="C250">
        <v>2024</v>
      </c>
      <c r="D250" s="1">
        <v>45550</v>
      </c>
      <c r="E250" s="2">
        <v>0.83333333333333326</v>
      </c>
      <c r="F250" t="s">
        <v>50</v>
      </c>
      <c r="G250" t="s">
        <v>27</v>
      </c>
      <c r="H250">
        <v>5</v>
      </c>
      <c r="I250">
        <v>0</v>
      </c>
      <c r="J250" t="s">
        <v>33</v>
      </c>
      <c r="K250">
        <v>128</v>
      </c>
      <c r="L250">
        <v>587</v>
      </c>
      <c r="M250">
        <v>1148</v>
      </c>
      <c r="N250">
        <v>131</v>
      </c>
      <c r="O250">
        <v>61</v>
      </c>
      <c r="P250">
        <v>12</v>
      </c>
      <c r="Q250">
        <v>128</v>
      </c>
      <c r="R250">
        <v>556</v>
      </c>
      <c r="S250">
        <v>1048</v>
      </c>
      <c r="T250" t="s">
        <v>166</v>
      </c>
      <c r="U250" t="s">
        <v>159</v>
      </c>
      <c r="V250" t="s">
        <v>167</v>
      </c>
      <c r="W250" t="s">
        <v>30</v>
      </c>
      <c r="X250" t="s">
        <v>30</v>
      </c>
      <c r="Y250" t="s">
        <v>30</v>
      </c>
    </row>
    <row r="251" spans="1:25" x14ac:dyDescent="0.25">
      <c r="A251" t="s">
        <v>25</v>
      </c>
      <c r="B251" t="s">
        <v>26</v>
      </c>
      <c r="C251">
        <v>2024</v>
      </c>
      <c r="D251" s="1">
        <v>45550</v>
      </c>
      <c r="E251" s="2">
        <v>0.9375</v>
      </c>
      <c r="F251" t="s">
        <v>32</v>
      </c>
      <c r="G251" t="s">
        <v>44</v>
      </c>
      <c r="H251">
        <v>3</v>
      </c>
      <c r="I251">
        <v>0</v>
      </c>
      <c r="J251" t="s">
        <v>33</v>
      </c>
      <c r="K251">
        <v>195</v>
      </c>
      <c r="L251">
        <v>349</v>
      </c>
      <c r="M251">
        <v>424</v>
      </c>
      <c r="N251">
        <v>198</v>
      </c>
      <c r="O251">
        <v>365</v>
      </c>
      <c r="P251">
        <v>424</v>
      </c>
      <c r="Q251">
        <v>193</v>
      </c>
      <c r="R251">
        <v>346</v>
      </c>
      <c r="S251">
        <v>399</v>
      </c>
      <c r="T251" t="s">
        <v>163</v>
      </c>
      <c r="U251" t="s">
        <v>58</v>
      </c>
      <c r="V251" t="s">
        <v>111</v>
      </c>
      <c r="W251" t="s">
        <v>30</v>
      </c>
      <c r="X251" t="s">
        <v>30</v>
      </c>
      <c r="Y251" t="s">
        <v>30</v>
      </c>
    </row>
    <row r="252" spans="1:25" x14ac:dyDescent="0.25">
      <c r="A252" t="s">
        <v>25</v>
      </c>
      <c r="B252" t="s">
        <v>26</v>
      </c>
      <c r="C252">
        <v>2024</v>
      </c>
      <c r="D252" s="1">
        <v>45550</v>
      </c>
      <c r="E252" s="2">
        <v>0.9375</v>
      </c>
      <c r="F252" t="s">
        <v>47</v>
      </c>
      <c r="G252" t="s">
        <v>36</v>
      </c>
      <c r="H252">
        <v>0</v>
      </c>
      <c r="I252">
        <v>1</v>
      </c>
      <c r="J252" t="s">
        <v>38</v>
      </c>
      <c r="K252">
        <v>185</v>
      </c>
      <c r="L252">
        <v>326</v>
      </c>
      <c r="M252">
        <v>527</v>
      </c>
      <c r="N252">
        <v>187</v>
      </c>
      <c r="O252">
        <v>34</v>
      </c>
      <c r="P252">
        <v>531</v>
      </c>
      <c r="Q252">
        <v>184</v>
      </c>
      <c r="R252">
        <v>322</v>
      </c>
      <c r="S252">
        <v>494</v>
      </c>
      <c r="T252" t="s">
        <v>134</v>
      </c>
      <c r="U252" t="s">
        <v>52</v>
      </c>
      <c r="V252" t="s">
        <v>98</v>
      </c>
      <c r="W252" t="s">
        <v>30</v>
      </c>
      <c r="X252" t="s">
        <v>30</v>
      </c>
      <c r="Y252" t="s">
        <v>30</v>
      </c>
    </row>
    <row r="253" spans="1:25" x14ac:dyDescent="0.25">
      <c r="A253" t="s">
        <v>25</v>
      </c>
      <c r="B253" t="s">
        <v>26</v>
      </c>
      <c r="C253">
        <v>2024</v>
      </c>
      <c r="D253" s="1">
        <v>45550</v>
      </c>
      <c r="E253" s="2">
        <v>0.9375</v>
      </c>
      <c r="F253" t="s">
        <v>42</v>
      </c>
      <c r="G253" t="s">
        <v>45</v>
      </c>
      <c r="H253">
        <v>1</v>
      </c>
      <c r="I253">
        <v>1</v>
      </c>
      <c r="J253" t="s">
        <v>29</v>
      </c>
      <c r="K253">
        <v>176</v>
      </c>
      <c r="L253">
        <v>363</v>
      </c>
      <c r="M253">
        <v>516</v>
      </c>
      <c r="N253">
        <v>176</v>
      </c>
      <c r="O253">
        <v>375</v>
      </c>
      <c r="P253">
        <v>557</v>
      </c>
      <c r="Q253">
        <v>171</v>
      </c>
      <c r="R253">
        <v>364</v>
      </c>
      <c r="S253">
        <v>5</v>
      </c>
      <c r="T253" t="s">
        <v>168</v>
      </c>
      <c r="U253" t="s">
        <v>137</v>
      </c>
      <c r="V253" t="s">
        <v>105</v>
      </c>
      <c r="W253" t="s">
        <v>30</v>
      </c>
      <c r="X253" t="s">
        <v>30</v>
      </c>
      <c r="Y253" t="s">
        <v>30</v>
      </c>
    </row>
    <row r="254" spans="1:25" x14ac:dyDescent="0.25">
      <c r="A254" t="s">
        <v>25</v>
      </c>
      <c r="B254" t="s">
        <v>26</v>
      </c>
      <c r="C254">
        <v>2024</v>
      </c>
      <c r="D254" s="1">
        <v>45552</v>
      </c>
      <c r="E254" s="2">
        <v>0</v>
      </c>
      <c r="F254" t="s">
        <v>31</v>
      </c>
      <c r="G254" t="s">
        <v>40</v>
      </c>
      <c r="H254">
        <v>3</v>
      </c>
      <c r="I254">
        <v>0</v>
      </c>
      <c r="J254" t="s">
        <v>33</v>
      </c>
      <c r="K254">
        <v>149</v>
      </c>
      <c r="L254">
        <v>418</v>
      </c>
      <c r="M254">
        <v>812</v>
      </c>
      <c r="N254">
        <v>151</v>
      </c>
      <c r="O254">
        <v>43</v>
      </c>
      <c r="P254">
        <v>87</v>
      </c>
      <c r="Q254">
        <v>145</v>
      </c>
      <c r="R254">
        <v>402</v>
      </c>
      <c r="S254">
        <v>806</v>
      </c>
      <c r="T254" t="s">
        <v>116</v>
      </c>
      <c r="U254" t="s">
        <v>143</v>
      </c>
      <c r="V254" t="s">
        <v>169</v>
      </c>
      <c r="W254" t="s">
        <v>30</v>
      </c>
      <c r="X254" t="s">
        <v>30</v>
      </c>
      <c r="Y254" t="s">
        <v>30</v>
      </c>
    </row>
    <row r="255" spans="1:25" x14ac:dyDescent="0.25">
      <c r="A255" t="s">
        <v>25</v>
      </c>
      <c r="B255" t="s">
        <v>26</v>
      </c>
      <c r="C255">
        <v>2024</v>
      </c>
      <c r="D255" s="1">
        <v>45556</v>
      </c>
      <c r="E255" s="2">
        <v>0.83333333333333326</v>
      </c>
      <c r="F255" t="s">
        <v>43</v>
      </c>
      <c r="G255" t="s">
        <v>41</v>
      </c>
      <c r="H255">
        <v>3</v>
      </c>
      <c r="I255">
        <v>0</v>
      </c>
      <c r="J255" t="s">
        <v>33</v>
      </c>
      <c r="K255">
        <v>159</v>
      </c>
      <c r="L255">
        <v>395</v>
      </c>
      <c r="M255">
        <v>644</v>
      </c>
      <c r="N255">
        <v>162</v>
      </c>
      <c r="O255">
        <v>4</v>
      </c>
      <c r="P255">
        <v>66</v>
      </c>
      <c r="Q255">
        <v>158</v>
      </c>
      <c r="R255">
        <v>383</v>
      </c>
      <c r="S255">
        <v>613</v>
      </c>
      <c r="T255" t="s">
        <v>170</v>
      </c>
      <c r="U255" t="s">
        <v>83</v>
      </c>
      <c r="V255" t="s">
        <v>159</v>
      </c>
      <c r="W255" t="s">
        <v>30</v>
      </c>
      <c r="X255" t="s">
        <v>30</v>
      </c>
      <c r="Y255" t="s">
        <v>30</v>
      </c>
    </row>
    <row r="256" spans="1:25" x14ac:dyDescent="0.25">
      <c r="A256" t="s">
        <v>25</v>
      </c>
      <c r="B256" t="s">
        <v>26</v>
      </c>
      <c r="C256">
        <v>2024</v>
      </c>
      <c r="D256" s="1">
        <v>45556</v>
      </c>
      <c r="E256" s="2">
        <v>0.83333333333333326</v>
      </c>
      <c r="F256" t="s">
        <v>49</v>
      </c>
      <c r="G256" t="s">
        <v>28</v>
      </c>
      <c r="H256">
        <v>1</v>
      </c>
      <c r="I256">
        <v>0</v>
      </c>
      <c r="J256" t="s">
        <v>33</v>
      </c>
      <c r="K256">
        <v>206</v>
      </c>
      <c r="L256">
        <v>325</v>
      </c>
      <c r="M256">
        <v>413</v>
      </c>
      <c r="N256">
        <v>209</v>
      </c>
      <c r="O256">
        <v>35</v>
      </c>
      <c r="P256">
        <v>413</v>
      </c>
      <c r="Q256">
        <v>201</v>
      </c>
      <c r="R256">
        <v>325</v>
      </c>
      <c r="S256">
        <v>397</v>
      </c>
      <c r="T256" t="s">
        <v>62</v>
      </c>
      <c r="U256" t="s">
        <v>56</v>
      </c>
      <c r="V256" t="s">
        <v>63</v>
      </c>
      <c r="W256" t="s">
        <v>30</v>
      </c>
      <c r="X256" t="s">
        <v>30</v>
      </c>
      <c r="Y256" t="s">
        <v>30</v>
      </c>
    </row>
    <row r="257" spans="1:25" x14ac:dyDescent="0.25">
      <c r="A257" t="s">
        <v>25</v>
      </c>
      <c r="B257" t="s">
        <v>26</v>
      </c>
      <c r="C257">
        <v>2024</v>
      </c>
      <c r="D257" s="1">
        <v>45556</v>
      </c>
      <c r="E257" s="2">
        <v>0.9375</v>
      </c>
      <c r="F257" t="s">
        <v>34</v>
      </c>
      <c r="G257" t="s">
        <v>48</v>
      </c>
      <c r="H257">
        <v>0</v>
      </c>
      <c r="I257">
        <v>1</v>
      </c>
      <c r="J257" t="s">
        <v>38</v>
      </c>
      <c r="K257">
        <v>353</v>
      </c>
      <c r="L257">
        <v>318</v>
      </c>
      <c r="M257">
        <v>23</v>
      </c>
      <c r="N257">
        <v>363</v>
      </c>
      <c r="O257">
        <v>328</v>
      </c>
      <c r="P257">
        <v>235</v>
      </c>
      <c r="Q257">
        <v>341</v>
      </c>
      <c r="R257">
        <v>313</v>
      </c>
      <c r="S257">
        <v>225</v>
      </c>
      <c r="T257" t="s">
        <v>81</v>
      </c>
      <c r="U257" t="s">
        <v>52</v>
      </c>
      <c r="V257" t="s">
        <v>79</v>
      </c>
      <c r="W257" t="s">
        <v>30</v>
      </c>
      <c r="X257" t="s">
        <v>30</v>
      </c>
      <c r="Y257" t="s">
        <v>30</v>
      </c>
    </row>
    <row r="258" spans="1:25" x14ac:dyDescent="0.25">
      <c r="A258" t="s">
        <v>25</v>
      </c>
      <c r="B258" t="s">
        <v>26</v>
      </c>
      <c r="C258">
        <v>2024</v>
      </c>
      <c r="D258" s="1">
        <v>45557</v>
      </c>
      <c r="E258" s="2">
        <v>4.1666666666666664E-2</v>
      </c>
      <c r="F258" t="s">
        <v>37</v>
      </c>
      <c r="G258" t="s">
        <v>32</v>
      </c>
      <c r="H258">
        <v>4</v>
      </c>
      <c r="I258">
        <v>1</v>
      </c>
      <c r="J258" t="s">
        <v>33</v>
      </c>
      <c r="K258">
        <v>266</v>
      </c>
      <c r="L258">
        <v>326</v>
      </c>
      <c r="M258">
        <v>286</v>
      </c>
      <c r="N258">
        <v>266</v>
      </c>
      <c r="O258">
        <v>335</v>
      </c>
      <c r="P258">
        <v>295</v>
      </c>
      <c r="Q258">
        <v>259</v>
      </c>
      <c r="R258">
        <v>32</v>
      </c>
      <c r="S258">
        <v>279</v>
      </c>
      <c r="T258" t="s">
        <v>171</v>
      </c>
      <c r="U258" t="s">
        <v>57</v>
      </c>
      <c r="V258" t="s">
        <v>148</v>
      </c>
      <c r="W258" t="s">
        <v>30</v>
      </c>
      <c r="X258" t="s">
        <v>30</v>
      </c>
      <c r="Y258" t="s">
        <v>30</v>
      </c>
    </row>
    <row r="259" spans="1:25" x14ac:dyDescent="0.25">
      <c r="A259" t="s">
        <v>25</v>
      </c>
      <c r="B259" t="s">
        <v>26</v>
      </c>
      <c r="C259">
        <v>2024</v>
      </c>
      <c r="D259" s="1">
        <v>45557</v>
      </c>
      <c r="E259" s="2">
        <v>0.83333333333333326</v>
      </c>
      <c r="F259" t="s">
        <v>44</v>
      </c>
      <c r="G259" t="s">
        <v>35</v>
      </c>
      <c r="H259">
        <v>3</v>
      </c>
      <c r="I259">
        <v>0</v>
      </c>
      <c r="J259" t="s">
        <v>33</v>
      </c>
      <c r="K259">
        <v>218</v>
      </c>
      <c r="L259">
        <v>334</v>
      </c>
      <c r="M259">
        <v>363</v>
      </c>
      <c r="N259">
        <v>227</v>
      </c>
      <c r="O259">
        <v>346</v>
      </c>
      <c r="P259">
        <v>363</v>
      </c>
      <c r="Q259">
        <v>218</v>
      </c>
      <c r="R259">
        <v>328</v>
      </c>
      <c r="S259">
        <v>342</v>
      </c>
      <c r="T259" t="s">
        <v>160</v>
      </c>
      <c r="U259" t="s">
        <v>80</v>
      </c>
      <c r="V259" t="s">
        <v>94</v>
      </c>
      <c r="W259" t="s">
        <v>30</v>
      </c>
      <c r="X259" t="s">
        <v>30</v>
      </c>
      <c r="Y259" t="s">
        <v>30</v>
      </c>
    </row>
    <row r="260" spans="1:25" x14ac:dyDescent="0.25">
      <c r="A260" t="s">
        <v>25</v>
      </c>
      <c r="B260" t="s">
        <v>26</v>
      </c>
      <c r="C260">
        <v>2024</v>
      </c>
      <c r="D260" s="1">
        <v>45557</v>
      </c>
      <c r="E260" s="2">
        <v>0.83333333333333326</v>
      </c>
      <c r="F260" t="s">
        <v>45</v>
      </c>
      <c r="G260" t="s">
        <v>50</v>
      </c>
      <c r="H260">
        <v>0</v>
      </c>
      <c r="I260">
        <v>1</v>
      </c>
      <c r="J260" t="s">
        <v>38</v>
      </c>
      <c r="K260">
        <v>438</v>
      </c>
      <c r="L260">
        <v>388</v>
      </c>
      <c r="M260">
        <v>182</v>
      </c>
      <c r="N260">
        <v>44</v>
      </c>
      <c r="O260">
        <v>394</v>
      </c>
      <c r="P260">
        <v>182</v>
      </c>
      <c r="Q260">
        <v>423</v>
      </c>
      <c r="R260">
        <v>378</v>
      </c>
      <c r="S260">
        <v>18</v>
      </c>
      <c r="T260" t="s">
        <v>117</v>
      </c>
      <c r="U260" t="s">
        <v>94</v>
      </c>
      <c r="V260" t="s">
        <v>153</v>
      </c>
      <c r="W260" t="s">
        <v>30</v>
      </c>
      <c r="X260" t="s">
        <v>30</v>
      </c>
      <c r="Y260" t="s">
        <v>30</v>
      </c>
    </row>
    <row r="261" spans="1:25" x14ac:dyDescent="0.25">
      <c r="A261" t="s">
        <v>25</v>
      </c>
      <c r="B261" t="s">
        <v>26</v>
      </c>
      <c r="C261">
        <v>2024</v>
      </c>
      <c r="D261" s="1">
        <v>45557</v>
      </c>
      <c r="E261" s="2">
        <v>0.9375</v>
      </c>
      <c r="F261" t="s">
        <v>40</v>
      </c>
      <c r="G261" t="s">
        <v>47</v>
      </c>
      <c r="H261">
        <v>0</v>
      </c>
      <c r="I261">
        <v>0</v>
      </c>
      <c r="J261" t="s">
        <v>29</v>
      </c>
      <c r="K261">
        <v>286</v>
      </c>
      <c r="L261">
        <v>287</v>
      </c>
      <c r="M261">
        <v>299</v>
      </c>
      <c r="N261">
        <v>293</v>
      </c>
      <c r="O261">
        <v>295</v>
      </c>
      <c r="P261">
        <v>299</v>
      </c>
      <c r="Q261">
        <v>28</v>
      </c>
      <c r="R261">
        <v>287</v>
      </c>
      <c r="S261">
        <v>284</v>
      </c>
      <c r="T261" t="s">
        <v>172</v>
      </c>
      <c r="U261" t="s">
        <v>109</v>
      </c>
      <c r="V261" t="s">
        <v>85</v>
      </c>
      <c r="W261" t="s">
        <v>30</v>
      </c>
      <c r="X261" t="s">
        <v>30</v>
      </c>
      <c r="Y261" t="s">
        <v>30</v>
      </c>
    </row>
    <row r="262" spans="1:25" x14ac:dyDescent="0.25">
      <c r="A262" t="s">
        <v>25</v>
      </c>
      <c r="B262" t="s">
        <v>26</v>
      </c>
      <c r="C262">
        <v>2024</v>
      </c>
      <c r="D262" s="1">
        <v>45557</v>
      </c>
      <c r="E262" s="2">
        <v>0.9375</v>
      </c>
      <c r="F262" t="s">
        <v>46</v>
      </c>
      <c r="G262" t="s">
        <v>42</v>
      </c>
      <c r="H262">
        <v>3</v>
      </c>
      <c r="I262">
        <v>2</v>
      </c>
      <c r="J262" t="s">
        <v>33</v>
      </c>
      <c r="K262">
        <v>183</v>
      </c>
      <c r="L262">
        <v>366</v>
      </c>
      <c r="M262">
        <v>454</v>
      </c>
      <c r="N262">
        <v>187</v>
      </c>
      <c r="O262">
        <v>373</v>
      </c>
      <c r="P262">
        <v>46</v>
      </c>
      <c r="Q262">
        <v>181</v>
      </c>
      <c r="R262">
        <v>357</v>
      </c>
      <c r="S262">
        <v>44</v>
      </c>
      <c r="T262" t="s">
        <v>173</v>
      </c>
      <c r="U262" t="s">
        <v>104</v>
      </c>
      <c r="V262" t="s">
        <v>60</v>
      </c>
      <c r="W262" t="s">
        <v>30</v>
      </c>
      <c r="X262" t="s">
        <v>30</v>
      </c>
      <c r="Y262" t="s">
        <v>30</v>
      </c>
    </row>
    <row r="263" spans="1:25" x14ac:dyDescent="0.25">
      <c r="A263" t="s">
        <v>25</v>
      </c>
      <c r="B263" t="s">
        <v>26</v>
      </c>
      <c r="C263">
        <v>2024</v>
      </c>
      <c r="D263" s="1">
        <v>45557</v>
      </c>
      <c r="E263" s="2">
        <v>0.9375</v>
      </c>
      <c r="F263" t="s">
        <v>36</v>
      </c>
      <c r="G263" t="s">
        <v>31</v>
      </c>
      <c r="H263">
        <v>1</v>
      </c>
      <c r="I263">
        <v>3</v>
      </c>
      <c r="J263" t="s">
        <v>38</v>
      </c>
      <c r="K263">
        <v>291</v>
      </c>
      <c r="L263">
        <v>294</v>
      </c>
      <c r="M263">
        <v>287</v>
      </c>
      <c r="N263">
        <v>292</v>
      </c>
      <c r="O263">
        <v>295</v>
      </c>
      <c r="P263">
        <v>294</v>
      </c>
      <c r="Q263">
        <v>284</v>
      </c>
      <c r="R263">
        <v>287</v>
      </c>
      <c r="S263">
        <v>28</v>
      </c>
      <c r="T263" t="s">
        <v>109</v>
      </c>
      <c r="U263" t="s">
        <v>107</v>
      </c>
      <c r="V263" t="s">
        <v>107</v>
      </c>
      <c r="W263" t="s">
        <v>30</v>
      </c>
      <c r="X263" t="s">
        <v>30</v>
      </c>
      <c r="Y263" t="s">
        <v>30</v>
      </c>
    </row>
    <row r="264" spans="1:25" x14ac:dyDescent="0.25">
      <c r="A264" t="s">
        <v>25</v>
      </c>
      <c r="B264" t="s">
        <v>26</v>
      </c>
      <c r="C264">
        <v>2024</v>
      </c>
      <c r="D264" s="1">
        <v>45558</v>
      </c>
      <c r="E264" s="2">
        <v>0</v>
      </c>
      <c r="F264" t="s">
        <v>27</v>
      </c>
      <c r="G264" t="s">
        <v>39</v>
      </c>
      <c r="H264">
        <v>0</v>
      </c>
      <c r="I264">
        <v>0</v>
      </c>
      <c r="J264" t="s">
        <v>29</v>
      </c>
      <c r="K264">
        <v>225</v>
      </c>
      <c r="L264">
        <v>337</v>
      </c>
      <c r="M264">
        <v>342</v>
      </c>
      <c r="N264">
        <v>232</v>
      </c>
      <c r="O264">
        <v>35</v>
      </c>
      <c r="P264">
        <v>342</v>
      </c>
      <c r="Q264">
        <v>222</v>
      </c>
      <c r="R264">
        <v>331</v>
      </c>
      <c r="S264">
        <v>328</v>
      </c>
      <c r="T264" t="s">
        <v>156</v>
      </c>
      <c r="U264" t="s">
        <v>55</v>
      </c>
      <c r="V264" t="s">
        <v>81</v>
      </c>
      <c r="W264" t="s">
        <v>30</v>
      </c>
      <c r="X264" t="s">
        <v>30</v>
      </c>
      <c r="Y264" t="s">
        <v>30</v>
      </c>
    </row>
    <row r="265" spans="1:25" x14ac:dyDescent="0.25">
      <c r="A265" t="s">
        <v>25</v>
      </c>
      <c r="B265" t="s">
        <v>26</v>
      </c>
      <c r="C265">
        <v>2024</v>
      </c>
      <c r="D265" s="1">
        <v>45560</v>
      </c>
      <c r="E265" s="2">
        <v>0.95833333333333326</v>
      </c>
      <c r="F265" t="s">
        <v>35</v>
      </c>
      <c r="G265" t="s">
        <v>31</v>
      </c>
      <c r="H265">
        <v>2</v>
      </c>
      <c r="I265">
        <v>2</v>
      </c>
      <c r="J265" t="s">
        <v>29</v>
      </c>
      <c r="K265">
        <v>333</v>
      </c>
      <c r="L265">
        <v>331</v>
      </c>
      <c r="M265">
        <v>232</v>
      </c>
      <c r="N265">
        <v>339</v>
      </c>
      <c r="O265">
        <v>338</v>
      </c>
      <c r="P265">
        <v>243</v>
      </c>
      <c r="Q265">
        <v>32</v>
      </c>
      <c r="R265">
        <v>324</v>
      </c>
      <c r="S265">
        <v>231</v>
      </c>
      <c r="T265" t="s">
        <v>80</v>
      </c>
      <c r="U265" t="s">
        <v>56</v>
      </c>
      <c r="V265" t="s">
        <v>174</v>
      </c>
      <c r="W265" t="s">
        <v>30</v>
      </c>
      <c r="X265" t="s">
        <v>30</v>
      </c>
      <c r="Y265" t="s">
        <v>30</v>
      </c>
    </row>
    <row r="266" spans="1:25" x14ac:dyDescent="0.25">
      <c r="A266" t="s">
        <v>25</v>
      </c>
      <c r="B266" t="s">
        <v>26</v>
      </c>
      <c r="C266">
        <v>2024</v>
      </c>
      <c r="D266" s="1">
        <v>45560</v>
      </c>
      <c r="E266" s="2">
        <v>0.95833333333333326</v>
      </c>
      <c r="F266" t="s">
        <v>46</v>
      </c>
      <c r="G266" t="s">
        <v>27</v>
      </c>
      <c r="H266">
        <v>1</v>
      </c>
      <c r="I266">
        <v>2</v>
      </c>
      <c r="J266" t="s">
        <v>38</v>
      </c>
      <c r="K266">
        <v>172</v>
      </c>
      <c r="L266">
        <v>39</v>
      </c>
      <c r="M266">
        <v>499</v>
      </c>
      <c r="N266">
        <v>174</v>
      </c>
      <c r="O266">
        <v>405</v>
      </c>
      <c r="P266">
        <v>51</v>
      </c>
      <c r="Q266">
        <v>169</v>
      </c>
      <c r="R266">
        <v>381</v>
      </c>
      <c r="S266">
        <v>488</v>
      </c>
      <c r="T266" t="s">
        <v>139</v>
      </c>
      <c r="U266" t="s">
        <v>65</v>
      </c>
      <c r="V266" t="s">
        <v>105</v>
      </c>
      <c r="W266" t="s">
        <v>30</v>
      </c>
      <c r="X266" t="s">
        <v>30</v>
      </c>
      <c r="Y266" t="s">
        <v>30</v>
      </c>
    </row>
    <row r="267" spans="1:25" x14ac:dyDescent="0.25">
      <c r="A267" t="s">
        <v>25</v>
      </c>
      <c r="B267" t="s">
        <v>26</v>
      </c>
      <c r="C267">
        <v>2024</v>
      </c>
      <c r="D267" s="1">
        <v>45563</v>
      </c>
      <c r="E267" s="2">
        <v>0.9375</v>
      </c>
      <c r="F267" t="s">
        <v>50</v>
      </c>
      <c r="G267" t="s">
        <v>44</v>
      </c>
      <c r="H267">
        <v>2</v>
      </c>
      <c r="I267">
        <v>1</v>
      </c>
      <c r="J267" t="s">
        <v>33</v>
      </c>
      <c r="K267">
        <v>173</v>
      </c>
      <c r="L267">
        <v>374</v>
      </c>
      <c r="M267">
        <v>523</v>
      </c>
      <c r="N267">
        <v>175</v>
      </c>
      <c r="O267">
        <v>38</v>
      </c>
      <c r="P267">
        <v>55</v>
      </c>
      <c r="Q267">
        <v>17</v>
      </c>
      <c r="R267">
        <v>365</v>
      </c>
      <c r="S267">
        <v>514</v>
      </c>
      <c r="T267" t="s">
        <v>175</v>
      </c>
      <c r="U267" t="s">
        <v>104</v>
      </c>
      <c r="V267" t="s">
        <v>130</v>
      </c>
      <c r="W267" t="s">
        <v>30</v>
      </c>
      <c r="X267" t="s">
        <v>30</v>
      </c>
      <c r="Y267" t="s">
        <v>30</v>
      </c>
    </row>
    <row r="268" spans="1:25" x14ac:dyDescent="0.25">
      <c r="A268" t="s">
        <v>25</v>
      </c>
      <c r="B268" t="s">
        <v>26</v>
      </c>
      <c r="C268">
        <v>2024</v>
      </c>
      <c r="D268" s="1">
        <v>45564</v>
      </c>
      <c r="E268" s="2">
        <v>4.1666666666666664E-2</v>
      </c>
      <c r="F268" t="s">
        <v>48</v>
      </c>
      <c r="G268" t="s">
        <v>46</v>
      </c>
      <c r="H268">
        <v>0</v>
      </c>
      <c r="I268">
        <v>0</v>
      </c>
      <c r="J268" t="s">
        <v>29</v>
      </c>
      <c r="K268">
        <v>171</v>
      </c>
      <c r="L268">
        <v>396</v>
      </c>
      <c r="M268">
        <v>503</v>
      </c>
      <c r="N268">
        <v>171</v>
      </c>
      <c r="O268">
        <v>41</v>
      </c>
      <c r="P268">
        <v>52</v>
      </c>
      <c r="Q268">
        <v>167</v>
      </c>
      <c r="R268">
        <v>389</v>
      </c>
      <c r="S268">
        <v>489</v>
      </c>
      <c r="T268" t="s">
        <v>149</v>
      </c>
      <c r="U268" t="s">
        <v>65</v>
      </c>
      <c r="V268" t="s">
        <v>98</v>
      </c>
      <c r="W268" t="s">
        <v>30</v>
      </c>
      <c r="X268" t="s">
        <v>30</v>
      </c>
      <c r="Y268" t="s">
        <v>30</v>
      </c>
    </row>
    <row r="269" spans="1:25" x14ac:dyDescent="0.25">
      <c r="A269" t="s">
        <v>25</v>
      </c>
      <c r="B269" t="s">
        <v>26</v>
      </c>
      <c r="C269">
        <v>2024</v>
      </c>
      <c r="D269" s="1">
        <v>45564</v>
      </c>
      <c r="E269" s="2">
        <v>0.625</v>
      </c>
      <c r="F269" t="s">
        <v>28</v>
      </c>
      <c r="G269" t="s">
        <v>35</v>
      </c>
      <c r="H269">
        <v>1</v>
      </c>
      <c r="I269">
        <v>1</v>
      </c>
      <c r="J269" t="s">
        <v>29</v>
      </c>
      <c r="K269">
        <v>268</v>
      </c>
      <c r="L269">
        <v>323</v>
      </c>
      <c r="M269">
        <v>286</v>
      </c>
      <c r="N269">
        <v>268</v>
      </c>
      <c r="O269">
        <v>325</v>
      </c>
      <c r="P269">
        <v>3</v>
      </c>
      <c r="Q269">
        <v>258</v>
      </c>
      <c r="R269">
        <v>315</v>
      </c>
      <c r="S269">
        <v>283</v>
      </c>
      <c r="T269" t="s">
        <v>147</v>
      </c>
      <c r="U269" t="s">
        <v>80</v>
      </c>
      <c r="V269" t="s">
        <v>148</v>
      </c>
      <c r="W269" t="s">
        <v>30</v>
      </c>
      <c r="X269" t="s">
        <v>30</v>
      </c>
      <c r="Y269" t="s">
        <v>30</v>
      </c>
    </row>
    <row r="270" spans="1:25" x14ac:dyDescent="0.25">
      <c r="A270" t="s">
        <v>25</v>
      </c>
      <c r="B270" t="s">
        <v>26</v>
      </c>
      <c r="C270">
        <v>2024</v>
      </c>
      <c r="D270" s="1">
        <v>45564</v>
      </c>
      <c r="E270" s="2">
        <v>0.83333333333333326</v>
      </c>
      <c r="F270" t="s">
        <v>41</v>
      </c>
      <c r="G270" t="s">
        <v>34</v>
      </c>
      <c r="H270">
        <v>1</v>
      </c>
      <c r="I270">
        <v>0</v>
      </c>
      <c r="J270" t="s">
        <v>33</v>
      </c>
      <c r="K270">
        <v>243</v>
      </c>
      <c r="L270">
        <v>319</v>
      </c>
      <c r="M270">
        <v>324</v>
      </c>
      <c r="N270">
        <v>27</v>
      </c>
      <c r="O270">
        <v>326</v>
      </c>
      <c r="P270">
        <v>324</v>
      </c>
      <c r="Q270">
        <v>249</v>
      </c>
      <c r="R270">
        <v>311</v>
      </c>
      <c r="S270">
        <v>299</v>
      </c>
      <c r="T270" t="s">
        <v>176</v>
      </c>
      <c r="U270" t="s">
        <v>68</v>
      </c>
      <c r="V270" t="s">
        <v>57</v>
      </c>
      <c r="W270" t="s">
        <v>30</v>
      </c>
      <c r="X270" t="s">
        <v>30</v>
      </c>
      <c r="Y270" t="s">
        <v>30</v>
      </c>
    </row>
    <row r="271" spans="1:25" x14ac:dyDescent="0.25">
      <c r="A271" t="s">
        <v>25</v>
      </c>
      <c r="B271" t="s">
        <v>26</v>
      </c>
      <c r="C271">
        <v>2024</v>
      </c>
      <c r="D271" s="1">
        <v>45564</v>
      </c>
      <c r="E271" s="2">
        <v>0.83333333333333326</v>
      </c>
      <c r="F271" t="s">
        <v>37</v>
      </c>
      <c r="G271" t="s">
        <v>40</v>
      </c>
      <c r="H271">
        <v>1</v>
      </c>
      <c r="I271">
        <v>0</v>
      </c>
      <c r="J271" t="s">
        <v>33</v>
      </c>
      <c r="K271">
        <v>174</v>
      </c>
      <c r="L271">
        <v>356</v>
      </c>
      <c r="M271">
        <v>558</v>
      </c>
      <c r="N271">
        <v>177</v>
      </c>
      <c r="O271">
        <v>378</v>
      </c>
      <c r="P271">
        <v>58</v>
      </c>
      <c r="Q271">
        <v>172</v>
      </c>
      <c r="R271">
        <v>354</v>
      </c>
      <c r="S271">
        <v>52</v>
      </c>
      <c r="T271" t="s">
        <v>175</v>
      </c>
      <c r="U271" t="s">
        <v>74</v>
      </c>
      <c r="V271" t="s">
        <v>101</v>
      </c>
      <c r="W271" t="s">
        <v>30</v>
      </c>
      <c r="X271" t="s">
        <v>30</v>
      </c>
      <c r="Y271" t="s">
        <v>30</v>
      </c>
    </row>
    <row r="272" spans="1:25" x14ac:dyDescent="0.25">
      <c r="A272" t="s">
        <v>25</v>
      </c>
      <c r="B272" t="s">
        <v>26</v>
      </c>
      <c r="C272">
        <v>2024</v>
      </c>
      <c r="D272" s="1">
        <v>45564</v>
      </c>
      <c r="E272" s="2">
        <v>0.83333333333333326</v>
      </c>
      <c r="F272" t="s">
        <v>36</v>
      </c>
      <c r="G272" t="s">
        <v>43</v>
      </c>
      <c r="H272">
        <v>3</v>
      </c>
      <c r="I272">
        <v>1</v>
      </c>
      <c r="J272" t="s">
        <v>33</v>
      </c>
      <c r="K272">
        <v>267</v>
      </c>
      <c r="L272">
        <v>297</v>
      </c>
      <c r="M272">
        <v>311</v>
      </c>
      <c r="N272">
        <v>267</v>
      </c>
      <c r="O272">
        <v>297</v>
      </c>
      <c r="P272">
        <v>32</v>
      </c>
      <c r="Q272">
        <v>259</v>
      </c>
      <c r="R272">
        <v>29</v>
      </c>
      <c r="S272">
        <v>308</v>
      </c>
      <c r="T272" t="s">
        <v>127</v>
      </c>
      <c r="U272" t="s">
        <v>107</v>
      </c>
      <c r="V272" t="s">
        <v>52</v>
      </c>
      <c r="W272" t="s">
        <v>30</v>
      </c>
      <c r="X272" t="s">
        <v>30</v>
      </c>
      <c r="Y272" t="s">
        <v>30</v>
      </c>
    </row>
    <row r="273" spans="1:25" x14ac:dyDescent="0.25">
      <c r="A273" t="s">
        <v>25</v>
      </c>
      <c r="B273" t="s">
        <v>26</v>
      </c>
      <c r="C273">
        <v>2024</v>
      </c>
      <c r="D273" s="1">
        <v>45564</v>
      </c>
      <c r="E273" s="2">
        <v>0.9375</v>
      </c>
      <c r="F273" t="s">
        <v>32</v>
      </c>
      <c r="G273" t="s">
        <v>27</v>
      </c>
      <c r="H273">
        <v>1</v>
      </c>
      <c r="I273">
        <v>0</v>
      </c>
      <c r="J273" t="s">
        <v>33</v>
      </c>
      <c r="K273">
        <v>164</v>
      </c>
      <c r="L273">
        <v>417</v>
      </c>
      <c r="M273">
        <v>535</v>
      </c>
      <c r="N273">
        <v>165</v>
      </c>
      <c r="O273">
        <v>425</v>
      </c>
      <c r="P273">
        <v>6</v>
      </c>
      <c r="Q273">
        <v>161</v>
      </c>
      <c r="R273">
        <v>402</v>
      </c>
      <c r="S273">
        <v>526</v>
      </c>
      <c r="T273" t="s">
        <v>164</v>
      </c>
      <c r="U273" t="s">
        <v>63</v>
      </c>
      <c r="V273" t="s">
        <v>123</v>
      </c>
      <c r="W273" t="s">
        <v>30</v>
      </c>
      <c r="X273" t="s">
        <v>30</v>
      </c>
      <c r="Y273" t="s">
        <v>30</v>
      </c>
    </row>
    <row r="274" spans="1:25" x14ac:dyDescent="0.25">
      <c r="A274" t="s">
        <v>25</v>
      </c>
      <c r="B274" t="s">
        <v>26</v>
      </c>
      <c r="C274">
        <v>2024</v>
      </c>
      <c r="D274" s="1">
        <v>45564</v>
      </c>
      <c r="E274" s="2">
        <v>0.9375</v>
      </c>
      <c r="F274" t="s">
        <v>47</v>
      </c>
      <c r="G274" t="s">
        <v>45</v>
      </c>
      <c r="H274">
        <v>1</v>
      </c>
      <c r="I274">
        <v>1</v>
      </c>
      <c r="J274" t="s">
        <v>29</v>
      </c>
      <c r="K274">
        <v>183</v>
      </c>
      <c r="L274">
        <v>36</v>
      </c>
      <c r="M274">
        <v>47</v>
      </c>
      <c r="N274">
        <v>187</v>
      </c>
      <c r="O274">
        <v>36</v>
      </c>
      <c r="P274">
        <v>51</v>
      </c>
      <c r="Q274">
        <v>178</v>
      </c>
      <c r="R274">
        <v>351</v>
      </c>
      <c r="S274">
        <v>469</v>
      </c>
      <c r="T274" t="s">
        <v>173</v>
      </c>
      <c r="U274" t="s">
        <v>74</v>
      </c>
      <c r="V274" t="s">
        <v>60</v>
      </c>
      <c r="W274" t="s">
        <v>30</v>
      </c>
      <c r="X274" t="s">
        <v>30</v>
      </c>
      <c r="Y274" t="s">
        <v>30</v>
      </c>
    </row>
    <row r="275" spans="1:25" x14ac:dyDescent="0.25">
      <c r="A275" t="s">
        <v>25</v>
      </c>
      <c r="B275" t="s">
        <v>26</v>
      </c>
      <c r="C275">
        <v>2024</v>
      </c>
      <c r="D275" s="1">
        <v>45564</v>
      </c>
      <c r="E275" s="2">
        <v>0.9375</v>
      </c>
      <c r="F275" t="s">
        <v>31</v>
      </c>
      <c r="G275" t="s">
        <v>49</v>
      </c>
      <c r="H275">
        <v>3</v>
      </c>
      <c r="I275">
        <v>1</v>
      </c>
      <c r="J275" t="s">
        <v>33</v>
      </c>
      <c r="K275">
        <v>139</v>
      </c>
      <c r="L275">
        <v>491</v>
      </c>
      <c r="M275">
        <v>862</v>
      </c>
      <c r="N275">
        <v>141</v>
      </c>
      <c r="O275">
        <v>51</v>
      </c>
      <c r="P275">
        <v>9</v>
      </c>
      <c r="Q275">
        <v>138</v>
      </c>
      <c r="R275">
        <v>474</v>
      </c>
      <c r="S275">
        <v>825</v>
      </c>
      <c r="T275" t="s">
        <v>177</v>
      </c>
      <c r="U275" t="s">
        <v>60</v>
      </c>
      <c r="V275" t="s">
        <v>178</v>
      </c>
      <c r="W275" t="s">
        <v>30</v>
      </c>
      <c r="X275" t="s">
        <v>30</v>
      </c>
      <c r="Y275" t="s">
        <v>30</v>
      </c>
    </row>
    <row r="276" spans="1:25" x14ac:dyDescent="0.25">
      <c r="A276" t="s">
        <v>25</v>
      </c>
      <c r="B276" t="s">
        <v>26</v>
      </c>
      <c r="C276">
        <v>2024</v>
      </c>
      <c r="D276" s="1">
        <v>45565</v>
      </c>
      <c r="E276" s="2">
        <v>0</v>
      </c>
      <c r="F276" t="s">
        <v>42</v>
      </c>
      <c r="G276" t="s">
        <v>39</v>
      </c>
      <c r="H276">
        <v>1</v>
      </c>
      <c r="I276">
        <v>0</v>
      </c>
      <c r="J276" t="s">
        <v>33</v>
      </c>
      <c r="K276">
        <v>169</v>
      </c>
      <c r="L276">
        <v>387</v>
      </c>
      <c r="M276">
        <v>53</v>
      </c>
      <c r="N276">
        <v>172</v>
      </c>
      <c r="O276">
        <v>388</v>
      </c>
      <c r="P276">
        <v>558</v>
      </c>
      <c r="Q276">
        <v>167</v>
      </c>
      <c r="R276">
        <v>376</v>
      </c>
      <c r="S276">
        <v>514</v>
      </c>
      <c r="T276" t="s">
        <v>129</v>
      </c>
      <c r="U276" t="s">
        <v>133</v>
      </c>
      <c r="V276" t="s">
        <v>123</v>
      </c>
      <c r="W276" t="s">
        <v>30</v>
      </c>
      <c r="X276" t="s">
        <v>30</v>
      </c>
      <c r="Y276" t="s">
        <v>30</v>
      </c>
    </row>
    <row r="277" spans="1:25" x14ac:dyDescent="0.25">
      <c r="A277" t="s">
        <v>25</v>
      </c>
      <c r="B277" t="s">
        <v>26</v>
      </c>
      <c r="C277">
        <v>2024</v>
      </c>
      <c r="D277" s="1">
        <v>45568</v>
      </c>
      <c r="E277" s="2">
        <v>0.95833333333333326</v>
      </c>
      <c r="F277" t="s">
        <v>27</v>
      </c>
      <c r="G277" t="s">
        <v>41</v>
      </c>
      <c r="H277">
        <v>2</v>
      </c>
      <c r="I277">
        <v>0</v>
      </c>
      <c r="J277" t="s">
        <v>33</v>
      </c>
      <c r="K277">
        <v>187</v>
      </c>
      <c r="L277">
        <v>368</v>
      </c>
      <c r="M277">
        <v>438</v>
      </c>
      <c r="N277">
        <v>19</v>
      </c>
      <c r="O277">
        <v>373</v>
      </c>
      <c r="P277">
        <v>47</v>
      </c>
      <c r="Q277">
        <v>185</v>
      </c>
      <c r="R277">
        <v>357</v>
      </c>
      <c r="S277">
        <v>426</v>
      </c>
      <c r="T277" t="s">
        <v>179</v>
      </c>
      <c r="U277" t="s">
        <v>74</v>
      </c>
      <c r="V277" t="s">
        <v>141</v>
      </c>
      <c r="W277" t="s">
        <v>30</v>
      </c>
      <c r="X277" t="s">
        <v>30</v>
      </c>
      <c r="Y277" t="s">
        <v>30</v>
      </c>
    </row>
    <row r="278" spans="1:25" x14ac:dyDescent="0.25">
      <c r="A278" t="s">
        <v>25</v>
      </c>
      <c r="B278" t="s">
        <v>26</v>
      </c>
      <c r="C278">
        <v>2024</v>
      </c>
      <c r="D278" s="1">
        <v>45569</v>
      </c>
      <c r="E278" s="2">
        <v>6.25E-2</v>
      </c>
      <c r="F278" t="s">
        <v>34</v>
      </c>
      <c r="G278" t="s">
        <v>47</v>
      </c>
      <c r="H278">
        <v>1</v>
      </c>
      <c r="I278">
        <v>0</v>
      </c>
      <c r="J278" t="s">
        <v>33</v>
      </c>
      <c r="K278">
        <v>251</v>
      </c>
      <c r="L278">
        <v>305</v>
      </c>
      <c r="M278">
        <v>326</v>
      </c>
      <c r="N278">
        <v>251</v>
      </c>
      <c r="O278">
        <v>315</v>
      </c>
      <c r="P278">
        <v>34</v>
      </c>
      <c r="Q278">
        <v>243</v>
      </c>
      <c r="R278">
        <v>299</v>
      </c>
      <c r="S278">
        <v>321</v>
      </c>
      <c r="T278" t="s">
        <v>180</v>
      </c>
      <c r="U278" t="s">
        <v>53</v>
      </c>
      <c r="V278" t="s">
        <v>80</v>
      </c>
      <c r="W278" t="s">
        <v>30</v>
      </c>
      <c r="X278" t="s">
        <v>30</v>
      </c>
      <c r="Y278" t="s">
        <v>30</v>
      </c>
    </row>
    <row r="279" spans="1:25" x14ac:dyDescent="0.25">
      <c r="A279" t="s">
        <v>25</v>
      </c>
      <c r="B279" t="s">
        <v>26</v>
      </c>
      <c r="C279">
        <v>2024</v>
      </c>
      <c r="D279" s="1">
        <v>45570</v>
      </c>
      <c r="E279" s="2">
        <v>6.25E-2</v>
      </c>
      <c r="F279" t="s">
        <v>46</v>
      </c>
      <c r="G279" t="s">
        <v>37</v>
      </c>
      <c r="H279">
        <v>3</v>
      </c>
      <c r="I279">
        <v>1</v>
      </c>
      <c r="J279" t="s">
        <v>33</v>
      </c>
      <c r="K279">
        <v>215</v>
      </c>
      <c r="L279">
        <v>339</v>
      </c>
      <c r="M279">
        <v>366</v>
      </c>
      <c r="N279">
        <v>218</v>
      </c>
      <c r="O279">
        <v>35</v>
      </c>
      <c r="P279">
        <v>366</v>
      </c>
      <c r="Q279">
        <v>212</v>
      </c>
      <c r="R279">
        <v>335</v>
      </c>
      <c r="S279">
        <v>349</v>
      </c>
      <c r="T279" t="s">
        <v>132</v>
      </c>
      <c r="U279" t="s">
        <v>55</v>
      </c>
      <c r="V279" t="s">
        <v>94</v>
      </c>
      <c r="W279" t="s">
        <v>30</v>
      </c>
      <c r="X279" t="s">
        <v>30</v>
      </c>
      <c r="Y279" t="s">
        <v>30</v>
      </c>
    </row>
    <row r="280" spans="1:25" x14ac:dyDescent="0.25">
      <c r="A280" t="s">
        <v>25</v>
      </c>
      <c r="B280" t="s">
        <v>26</v>
      </c>
      <c r="C280">
        <v>2024</v>
      </c>
      <c r="D280" s="1">
        <v>45570</v>
      </c>
      <c r="E280" s="2">
        <v>0.85416666666666663</v>
      </c>
      <c r="F280" t="s">
        <v>39</v>
      </c>
      <c r="G280" t="s">
        <v>48</v>
      </c>
      <c r="H280">
        <v>0</v>
      </c>
      <c r="I280">
        <v>1</v>
      </c>
      <c r="J280" t="s">
        <v>38</v>
      </c>
      <c r="K280">
        <v>327</v>
      </c>
      <c r="L280">
        <v>352</v>
      </c>
      <c r="M280">
        <v>225</v>
      </c>
      <c r="N280">
        <v>33</v>
      </c>
      <c r="O280">
        <v>37</v>
      </c>
      <c r="P280">
        <v>225</v>
      </c>
      <c r="Q280">
        <v>318</v>
      </c>
      <c r="R280">
        <v>344</v>
      </c>
      <c r="S280">
        <v>221</v>
      </c>
      <c r="T280" t="s">
        <v>80</v>
      </c>
      <c r="U280" t="s">
        <v>58</v>
      </c>
      <c r="V280" t="s">
        <v>181</v>
      </c>
      <c r="W280" t="s">
        <v>30</v>
      </c>
      <c r="X280" t="s">
        <v>30</v>
      </c>
      <c r="Y280" t="s">
        <v>30</v>
      </c>
    </row>
    <row r="281" spans="1:25" x14ac:dyDescent="0.25">
      <c r="A281" t="s">
        <v>25</v>
      </c>
      <c r="B281" t="s">
        <v>26</v>
      </c>
      <c r="C281">
        <v>2024</v>
      </c>
      <c r="D281" s="1">
        <v>45570</v>
      </c>
      <c r="E281" s="2">
        <v>0.85416666666666663</v>
      </c>
      <c r="F281" t="s">
        <v>44</v>
      </c>
      <c r="G281" t="s">
        <v>49</v>
      </c>
      <c r="H281">
        <v>2</v>
      </c>
      <c r="I281">
        <v>2</v>
      </c>
      <c r="J281" t="s">
        <v>29</v>
      </c>
      <c r="K281">
        <v>183</v>
      </c>
      <c r="L281">
        <v>33</v>
      </c>
      <c r="M281">
        <v>535</v>
      </c>
      <c r="N281">
        <v>188</v>
      </c>
      <c r="O281">
        <v>36</v>
      </c>
      <c r="P281">
        <v>575</v>
      </c>
      <c r="Q281">
        <v>182</v>
      </c>
      <c r="R281">
        <v>326</v>
      </c>
      <c r="S281">
        <v>503</v>
      </c>
      <c r="T281" t="s">
        <v>182</v>
      </c>
      <c r="U281" t="s">
        <v>80</v>
      </c>
      <c r="V281" t="s">
        <v>95</v>
      </c>
      <c r="W281" t="s">
        <v>30</v>
      </c>
      <c r="X281" t="s">
        <v>30</v>
      </c>
      <c r="Y281" t="s">
        <v>30</v>
      </c>
    </row>
    <row r="282" spans="1:25" x14ac:dyDescent="0.25">
      <c r="A282" t="s">
        <v>25</v>
      </c>
      <c r="B282" t="s">
        <v>26</v>
      </c>
      <c r="C282">
        <v>2024</v>
      </c>
      <c r="D282" s="1">
        <v>45570</v>
      </c>
      <c r="E282" s="2">
        <v>0.85416666666666663</v>
      </c>
      <c r="F282" t="s">
        <v>35</v>
      </c>
      <c r="G282" t="s">
        <v>50</v>
      </c>
      <c r="H282">
        <v>0</v>
      </c>
      <c r="I282">
        <v>0</v>
      </c>
      <c r="J282" t="s">
        <v>29</v>
      </c>
      <c r="K282">
        <v>452</v>
      </c>
      <c r="L282">
        <v>364</v>
      </c>
      <c r="M282">
        <v>185</v>
      </c>
      <c r="N282">
        <v>457</v>
      </c>
      <c r="O282">
        <v>375</v>
      </c>
      <c r="P282">
        <v>188</v>
      </c>
      <c r="Q282">
        <v>429</v>
      </c>
      <c r="R282">
        <v>359</v>
      </c>
      <c r="S282">
        <v>183</v>
      </c>
      <c r="T282" t="s">
        <v>183</v>
      </c>
      <c r="U282" t="s">
        <v>74</v>
      </c>
      <c r="V282" t="s">
        <v>182</v>
      </c>
      <c r="W282" t="s">
        <v>30</v>
      </c>
      <c r="X282" t="s">
        <v>30</v>
      </c>
      <c r="Y282" t="s">
        <v>30</v>
      </c>
    </row>
    <row r="283" spans="1:25" x14ac:dyDescent="0.25">
      <c r="A283" t="s">
        <v>25</v>
      </c>
      <c r="B283" t="s">
        <v>26</v>
      </c>
      <c r="C283">
        <v>2024</v>
      </c>
      <c r="D283" s="1">
        <v>45570</v>
      </c>
      <c r="E283" s="2">
        <v>0.95833333333333326</v>
      </c>
      <c r="F283" t="s">
        <v>32</v>
      </c>
      <c r="G283" t="s">
        <v>42</v>
      </c>
      <c r="H283">
        <v>0</v>
      </c>
      <c r="I283">
        <v>2</v>
      </c>
      <c r="J283" t="s">
        <v>38</v>
      </c>
      <c r="K283">
        <v>279</v>
      </c>
      <c r="L283">
        <v>325</v>
      </c>
      <c r="M283">
        <v>272</v>
      </c>
      <c r="N283">
        <v>286</v>
      </c>
      <c r="O283">
        <v>336</v>
      </c>
      <c r="P283">
        <v>273</v>
      </c>
      <c r="Q283">
        <v>271</v>
      </c>
      <c r="R283">
        <v>325</v>
      </c>
      <c r="S283">
        <v>263</v>
      </c>
      <c r="T283" t="s">
        <v>146</v>
      </c>
      <c r="U283" t="s">
        <v>55</v>
      </c>
      <c r="V283" t="s">
        <v>184</v>
      </c>
      <c r="W283" t="s">
        <v>30</v>
      </c>
      <c r="X283" t="s">
        <v>30</v>
      </c>
      <c r="Y283" t="s">
        <v>30</v>
      </c>
    </row>
    <row r="284" spans="1:25" x14ac:dyDescent="0.25">
      <c r="A284" t="s">
        <v>25</v>
      </c>
      <c r="B284" t="s">
        <v>26</v>
      </c>
      <c r="C284">
        <v>2024</v>
      </c>
      <c r="D284" s="1">
        <v>45570</v>
      </c>
      <c r="E284" s="2">
        <v>0.95833333333333326</v>
      </c>
      <c r="F284" t="s">
        <v>43</v>
      </c>
      <c r="G284" t="s">
        <v>31</v>
      </c>
      <c r="H284">
        <v>2</v>
      </c>
      <c r="I284">
        <v>2</v>
      </c>
      <c r="J284" t="s">
        <v>29</v>
      </c>
      <c r="K284">
        <v>229</v>
      </c>
      <c r="L284">
        <v>324</v>
      </c>
      <c r="M284">
        <v>347</v>
      </c>
      <c r="N284">
        <v>238</v>
      </c>
      <c r="O284">
        <v>33</v>
      </c>
      <c r="P284">
        <v>347</v>
      </c>
      <c r="Q284">
        <v>226</v>
      </c>
      <c r="R284">
        <v>317</v>
      </c>
      <c r="S284">
        <v>332</v>
      </c>
      <c r="T284" t="s">
        <v>79</v>
      </c>
      <c r="U284" t="s">
        <v>80</v>
      </c>
      <c r="V284" t="s">
        <v>58</v>
      </c>
      <c r="W284" t="s">
        <v>30</v>
      </c>
      <c r="X284" t="s">
        <v>30</v>
      </c>
      <c r="Y284" t="s">
        <v>30</v>
      </c>
    </row>
    <row r="285" spans="1:25" x14ac:dyDescent="0.25">
      <c r="A285" t="s">
        <v>25</v>
      </c>
      <c r="B285" t="s">
        <v>26</v>
      </c>
      <c r="C285">
        <v>2024</v>
      </c>
      <c r="D285" s="1">
        <v>45570</v>
      </c>
      <c r="E285" s="2">
        <v>0.95833333333333326</v>
      </c>
      <c r="F285" t="s">
        <v>40</v>
      </c>
      <c r="G285" t="s">
        <v>36</v>
      </c>
      <c r="H285">
        <v>2</v>
      </c>
      <c r="I285">
        <v>0</v>
      </c>
      <c r="J285" t="s">
        <v>33</v>
      </c>
      <c r="K285">
        <v>389</v>
      </c>
      <c r="L285">
        <v>282</v>
      </c>
      <c r="M285">
        <v>237</v>
      </c>
      <c r="N285">
        <v>389</v>
      </c>
      <c r="O285">
        <v>292</v>
      </c>
      <c r="P285">
        <v>25</v>
      </c>
      <c r="Q285">
        <v>369</v>
      </c>
      <c r="R285">
        <v>278</v>
      </c>
      <c r="S285">
        <v>235</v>
      </c>
      <c r="T285" t="s">
        <v>71</v>
      </c>
      <c r="U285" t="s">
        <v>152</v>
      </c>
      <c r="V285" t="s">
        <v>151</v>
      </c>
      <c r="W285" t="s">
        <v>30</v>
      </c>
      <c r="X285" t="s">
        <v>30</v>
      </c>
      <c r="Y285" t="s">
        <v>30</v>
      </c>
    </row>
    <row r="286" spans="1:25" x14ac:dyDescent="0.25">
      <c r="A286" t="s">
        <v>25</v>
      </c>
      <c r="B286" t="s">
        <v>26</v>
      </c>
      <c r="C286">
        <v>2024</v>
      </c>
      <c r="D286" s="1">
        <v>45571</v>
      </c>
      <c r="E286" s="2">
        <v>4.1666666666666664E-2</v>
      </c>
      <c r="F286" t="s">
        <v>45</v>
      </c>
      <c r="G286" t="s">
        <v>28</v>
      </c>
      <c r="H286">
        <v>1</v>
      </c>
      <c r="I286">
        <v>1</v>
      </c>
      <c r="J286" t="s">
        <v>29</v>
      </c>
      <c r="K286">
        <v>176</v>
      </c>
      <c r="L286">
        <v>372</v>
      </c>
      <c r="M286">
        <v>504</v>
      </c>
      <c r="N286">
        <v>178</v>
      </c>
      <c r="O286">
        <v>385</v>
      </c>
      <c r="P286">
        <v>525</v>
      </c>
      <c r="Q286">
        <v>173</v>
      </c>
      <c r="R286">
        <v>363</v>
      </c>
      <c r="S286">
        <v>49</v>
      </c>
      <c r="T286" t="s">
        <v>185</v>
      </c>
      <c r="U286" t="s">
        <v>77</v>
      </c>
      <c r="V286" t="s">
        <v>98</v>
      </c>
      <c r="W286" t="s">
        <v>30</v>
      </c>
      <c r="X286" t="s">
        <v>30</v>
      </c>
      <c r="Y286" t="s">
        <v>30</v>
      </c>
    </row>
    <row r="287" spans="1:25" x14ac:dyDescent="0.25">
      <c r="A287" t="s">
        <v>25</v>
      </c>
      <c r="B287" t="s">
        <v>26</v>
      </c>
      <c r="C287">
        <v>2024</v>
      </c>
      <c r="D287" s="1">
        <v>45574</v>
      </c>
      <c r="E287" s="2">
        <v>0.97916666666666663</v>
      </c>
      <c r="F287" t="s">
        <v>44</v>
      </c>
      <c r="G287" t="s">
        <v>46</v>
      </c>
      <c r="H287">
        <v>2</v>
      </c>
      <c r="I287">
        <v>1</v>
      </c>
      <c r="J287" t="s">
        <v>33</v>
      </c>
      <c r="K287">
        <v>179</v>
      </c>
      <c r="L287">
        <v>365</v>
      </c>
      <c r="M287">
        <v>492</v>
      </c>
      <c r="N287">
        <v>195</v>
      </c>
      <c r="O287">
        <v>38</v>
      </c>
      <c r="P287">
        <v>492</v>
      </c>
      <c r="Q287">
        <v>181</v>
      </c>
      <c r="R287">
        <v>355</v>
      </c>
      <c r="S287">
        <v>443</v>
      </c>
      <c r="T287" t="s">
        <v>173</v>
      </c>
      <c r="U287" t="s">
        <v>137</v>
      </c>
      <c r="V287" t="s">
        <v>150</v>
      </c>
      <c r="W287" t="s">
        <v>30</v>
      </c>
      <c r="X287" t="s">
        <v>30</v>
      </c>
      <c r="Y287" t="s">
        <v>30</v>
      </c>
    </row>
    <row r="288" spans="1:25" x14ac:dyDescent="0.25">
      <c r="A288" t="s">
        <v>25</v>
      </c>
      <c r="B288" t="s">
        <v>26</v>
      </c>
      <c r="C288">
        <v>2024</v>
      </c>
      <c r="D288" s="1">
        <v>45582</v>
      </c>
      <c r="E288" s="2">
        <v>7.2916666666666657E-2</v>
      </c>
      <c r="F288" t="s">
        <v>37</v>
      </c>
      <c r="G288" t="s">
        <v>44</v>
      </c>
      <c r="H288">
        <v>1</v>
      </c>
      <c r="I288">
        <v>1</v>
      </c>
      <c r="J288" t="s">
        <v>29</v>
      </c>
      <c r="K288">
        <v>172</v>
      </c>
      <c r="L288">
        <v>355</v>
      </c>
      <c r="M288">
        <v>57</v>
      </c>
      <c r="N288">
        <v>178</v>
      </c>
      <c r="O288">
        <v>36</v>
      </c>
      <c r="P288">
        <v>6</v>
      </c>
      <c r="Q288">
        <v>171</v>
      </c>
      <c r="R288">
        <v>35</v>
      </c>
      <c r="S288">
        <v>548</v>
      </c>
      <c r="T288" t="s">
        <v>185</v>
      </c>
      <c r="U288" t="s">
        <v>74</v>
      </c>
      <c r="V288" t="s">
        <v>101</v>
      </c>
      <c r="W288" t="s">
        <v>30</v>
      </c>
      <c r="X288" t="s">
        <v>30</v>
      </c>
      <c r="Y288" t="s">
        <v>30</v>
      </c>
    </row>
    <row r="289" spans="1:25" x14ac:dyDescent="0.25">
      <c r="A289" t="s">
        <v>25</v>
      </c>
      <c r="B289" t="s">
        <v>26</v>
      </c>
      <c r="C289">
        <v>2024</v>
      </c>
      <c r="D289" s="1">
        <v>45582</v>
      </c>
      <c r="E289" s="2">
        <v>7.2916666666666657E-2</v>
      </c>
      <c r="F289" t="s">
        <v>36</v>
      </c>
      <c r="G289" t="s">
        <v>45</v>
      </c>
      <c r="H289">
        <v>3</v>
      </c>
      <c r="I289">
        <v>0</v>
      </c>
      <c r="J289" t="s">
        <v>33</v>
      </c>
      <c r="K289">
        <v>181</v>
      </c>
      <c r="L289">
        <v>354</v>
      </c>
      <c r="M289">
        <v>495</v>
      </c>
      <c r="N289">
        <v>188</v>
      </c>
      <c r="O289">
        <v>36</v>
      </c>
      <c r="P289">
        <v>5</v>
      </c>
      <c r="Q289">
        <v>18</v>
      </c>
      <c r="R289">
        <v>348</v>
      </c>
      <c r="S289">
        <v>47</v>
      </c>
      <c r="T289" t="s">
        <v>186</v>
      </c>
      <c r="U289" t="s">
        <v>137</v>
      </c>
      <c r="V289" t="s">
        <v>60</v>
      </c>
      <c r="W289" t="s">
        <v>30</v>
      </c>
      <c r="X289" t="s">
        <v>30</v>
      </c>
      <c r="Y289" t="s">
        <v>30</v>
      </c>
    </row>
    <row r="290" spans="1:25" x14ac:dyDescent="0.25">
      <c r="A290" t="s">
        <v>25</v>
      </c>
      <c r="B290" t="s">
        <v>26</v>
      </c>
      <c r="C290">
        <v>2024</v>
      </c>
      <c r="D290" s="1">
        <v>45583</v>
      </c>
      <c r="E290" s="2">
        <v>0</v>
      </c>
      <c r="F290" t="s">
        <v>43</v>
      </c>
      <c r="G290" t="s">
        <v>39</v>
      </c>
      <c r="H290">
        <v>5</v>
      </c>
      <c r="I290">
        <v>2</v>
      </c>
      <c r="J290" t="s">
        <v>33</v>
      </c>
      <c r="K290">
        <v>162</v>
      </c>
      <c r="L290">
        <v>404</v>
      </c>
      <c r="M290">
        <v>584</v>
      </c>
      <c r="N290">
        <v>165</v>
      </c>
      <c r="O290">
        <v>404</v>
      </c>
      <c r="P290">
        <v>607</v>
      </c>
      <c r="Q290">
        <v>162</v>
      </c>
      <c r="R290">
        <v>393</v>
      </c>
      <c r="S290">
        <v>545</v>
      </c>
      <c r="T290" t="s">
        <v>157</v>
      </c>
      <c r="U290" t="s">
        <v>63</v>
      </c>
      <c r="V290" t="s">
        <v>131</v>
      </c>
      <c r="W290" t="s">
        <v>30</v>
      </c>
      <c r="X290" t="s">
        <v>30</v>
      </c>
      <c r="Y290" t="s">
        <v>30</v>
      </c>
    </row>
    <row r="291" spans="1:25" x14ac:dyDescent="0.25">
      <c r="A291" t="s">
        <v>25</v>
      </c>
      <c r="B291" t="s">
        <v>26</v>
      </c>
      <c r="C291">
        <v>2024</v>
      </c>
      <c r="D291" s="1">
        <v>45583</v>
      </c>
      <c r="E291" s="2">
        <v>0</v>
      </c>
      <c r="F291" t="s">
        <v>42</v>
      </c>
      <c r="G291" t="s">
        <v>34</v>
      </c>
      <c r="H291">
        <v>0</v>
      </c>
      <c r="I291">
        <v>2</v>
      </c>
      <c r="J291" t="s">
        <v>38</v>
      </c>
      <c r="K291">
        <v>174</v>
      </c>
      <c r="L291">
        <v>34</v>
      </c>
      <c r="M291">
        <v>59</v>
      </c>
      <c r="N291">
        <v>179</v>
      </c>
      <c r="O291">
        <v>34</v>
      </c>
      <c r="P291">
        <v>635</v>
      </c>
      <c r="Q291">
        <v>172</v>
      </c>
      <c r="R291">
        <v>334</v>
      </c>
      <c r="S291">
        <v>569</v>
      </c>
      <c r="T291" t="s">
        <v>168</v>
      </c>
      <c r="U291" t="s">
        <v>55</v>
      </c>
      <c r="V291" t="s">
        <v>131</v>
      </c>
      <c r="W291" t="s">
        <v>30</v>
      </c>
      <c r="X291" t="s">
        <v>30</v>
      </c>
      <c r="Y291" t="s">
        <v>30</v>
      </c>
    </row>
    <row r="292" spans="1:25" x14ac:dyDescent="0.25">
      <c r="A292" t="s">
        <v>25</v>
      </c>
      <c r="B292" t="s">
        <v>26</v>
      </c>
      <c r="C292">
        <v>2024</v>
      </c>
      <c r="D292" s="1">
        <v>45583</v>
      </c>
      <c r="E292" s="2">
        <v>0.95833333333333326</v>
      </c>
      <c r="F292" t="s">
        <v>41</v>
      </c>
      <c r="G292" t="s">
        <v>40</v>
      </c>
      <c r="H292">
        <v>0</v>
      </c>
      <c r="I292">
        <v>0</v>
      </c>
      <c r="J292" t="s">
        <v>29</v>
      </c>
      <c r="K292">
        <v>223</v>
      </c>
      <c r="L292">
        <v>315</v>
      </c>
      <c r="M292">
        <v>374</v>
      </c>
      <c r="N292">
        <v>228</v>
      </c>
      <c r="O292">
        <v>325</v>
      </c>
      <c r="P292">
        <v>395</v>
      </c>
      <c r="Q292">
        <v>218</v>
      </c>
      <c r="R292">
        <v>31</v>
      </c>
      <c r="S292">
        <v>365</v>
      </c>
      <c r="T292" t="s">
        <v>128</v>
      </c>
      <c r="U292" t="s">
        <v>57</v>
      </c>
      <c r="V292" t="s">
        <v>65</v>
      </c>
      <c r="W292" t="s">
        <v>30</v>
      </c>
      <c r="X292" t="s">
        <v>30</v>
      </c>
      <c r="Y292" t="s">
        <v>30</v>
      </c>
    </row>
    <row r="293" spans="1:25" x14ac:dyDescent="0.25">
      <c r="A293" t="s">
        <v>25</v>
      </c>
      <c r="B293" t="s">
        <v>26</v>
      </c>
      <c r="C293">
        <v>2024</v>
      </c>
      <c r="D293" s="1">
        <v>45584</v>
      </c>
      <c r="E293" s="2">
        <v>0</v>
      </c>
      <c r="F293" t="s">
        <v>48</v>
      </c>
      <c r="G293" t="s">
        <v>27</v>
      </c>
      <c r="H293">
        <v>1</v>
      </c>
      <c r="I293">
        <v>1</v>
      </c>
      <c r="J293" t="s">
        <v>29</v>
      </c>
      <c r="K293">
        <v>132</v>
      </c>
      <c r="L293">
        <v>55</v>
      </c>
      <c r="M293">
        <v>1042</v>
      </c>
      <c r="N293">
        <v>136</v>
      </c>
      <c r="O293">
        <v>557</v>
      </c>
      <c r="P293">
        <v>1042</v>
      </c>
      <c r="Q293">
        <v>132</v>
      </c>
      <c r="R293">
        <v>525</v>
      </c>
      <c r="S293">
        <v>924</v>
      </c>
      <c r="T293" t="s">
        <v>187</v>
      </c>
      <c r="U293" t="s">
        <v>95</v>
      </c>
      <c r="V293" t="s">
        <v>188</v>
      </c>
      <c r="W293" t="s">
        <v>30</v>
      </c>
      <c r="X293" t="s">
        <v>30</v>
      </c>
      <c r="Y293" t="s">
        <v>30</v>
      </c>
    </row>
    <row r="294" spans="1:25" x14ac:dyDescent="0.25">
      <c r="A294" t="s">
        <v>25</v>
      </c>
      <c r="B294" t="s">
        <v>26</v>
      </c>
      <c r="C294">
        <v>2024</v>
      </c>
      <c r="D294" s="1">
        <v>45584</v>
      </c>
      <c r="E294" s="2">
        <v>6.25E-2</v>
      </c>
      <c r="F294" t="s">
        <v>47</v>
      </c>
      <c r="G294" t="s">
        <v>32</v>
      </c>
      <c r="H294">
        <v>1</v>
      </c>
      <c r="I294">
        <v>1</v>
      </c>
      <c r="J294" t="s">
        <v>29</v>
      </c>
      <c r="K294">
        <v>193</v>
      </c>
      <c r="L294">
        <v>353</v>
      </c>
      <c r="M294">
        <v>428</v>
      </c>
      <c r="N294">
        <v>195</v>
      </c>
      <c r="O294">
        <v>366</v>
      </c>
      <c r="P294">
        <v>43</v>
      </c>
      <c r="Q294">
        <v>191</v>
      </c>
      <c r="R294">
        <v>348</v>
      </c>
      <c r="S294">
        <v>406</v>
      </c>
      <c r="T294" t="s">
        <v>189</v>
      </c>
      <c r="U294" t="s">
        <v>137</v>
      </c>
      <c r="V294" t="s">
        <v>111</v>
      </c>
      <c r="W294" t="s">
        <v>30</v>
      </c>
      <c r="X294" t="s">
        <v>30</v>
      </c>
      <c r="Y294" t="s">
        <v>30</v>
      </c>
    </row>
    <row r="295" spans="1:25" x14ac:dyDescent="0.25">
      <c r="A295" t="s">
        <v>25</v>
      </c>
      <c r="B295" t="s">
        <v>26</v>
      </c>
      <c r="C295">
        <v>2024</v>
      </c>
      <c r="D295" s="1">
        <v>45584</v>
      </c>
      <c r="E295" s="2">
        <v>0.83333333333333326</v>
      </c>
      <c r="F295" t="s">
        <v>31</v>
      </c>
      <c r="G295" t="s">
        <v>46</v>
      </c>
      <c r="H295">
        <v>1</v>
      </c>
      <c r="I295">
        <v>0</v>
      </c>
      <c r="J295" t="s">
        <v>33</v>
      </c>
      <c r="K295">
        <v>176</v>
      </c>
      <c r="L295">
        <v>365</v>
      </c>
      <c r="M295">
        <v>518</v>
      </c>
      <c r="N295">
        <v>18</v>
      </c>
      <c r="O295">
        <v>37</v>
      </c>
      <c r="P295">
        <v>535</v>
      </c>
      <c r="Q295">
        <v>174</v>
      </c>
      <c r="R295">
        <v>359</v>
      </c>
      <c r="S295">
        <v>494</v>
      </c>
      <c r="T295" t="s">
        <v>113</v>
      </c>
      <c r="U295" t="s">
        <v>104</v>
      </c>
      <c r="V295" t="s">
        <v>98</v>
      </c>
      <c r="W295" t="s">
        <v>30</v>
      </c>
      <c r="X295" t="s">
        <v>30</v>
      </c>
      <c r="Y295" t="s">
        <v>30</v>
      </c>
    </row>
    <row r="296" spans="1:25" x14ac:dyDescent="0.25">
      <c r="A296" t="s">
        <v>25</v>
      </c>
      <c r="B296" t="s">
        <v>26</v>
      </c>
      <c r="C296">
        <v>2024</v>
      </c>
      <c r="D296" s="1">
        <v>45584</v>
      </c>
      <c r="E296" s="2">
        <v>0.83333333333333326</v>
      </c>
      <c r="F296" t="s">
        <v>49</v>
      </c>
      <c r="G296" t="s">
        <v>35</v>
      </c>
      <c r="H296">
        <v>1</v>
      </c>
      <c r="I296">
        <v>0</v>
      </c>
      <c r="J296" t="s">
        <v>33</v>
      </c>
      <c r="K296">
        <v>225</v>
      </c>
      <c r="L296">
        <v>315</v>
      </c>
      <c r="M296">
        <v>368</v>
      </c>
      <c r="N296">
        <v>231</v>
      </c>
      <c r="O296">
        <v>33</v>
      </c>
      <c r="P296">
        <v>368</v>
      </c>
      <c r="Q296">
        <v>222</v>
      </c>
      <c r="R296">
        <v>312</v>
      </c>
      <c r="S296">
        <v>349</v>
      </c>
      <c r="T296" t="s">
        <v>158</v>
      </c>
      <c r="U296" t="s">
        <v>57</v>
      </c>
      <c r="V296" t="s">
        <v>137</v>
      </c>
      <c r="W296" t="s">
        <v>30</v>
      </c>
      <c r="X296" t="s">
        <v>30</v>
      </c>
      <c r="Y296" t="s">
        <v>30</v>
      </c>
    </row>
    <row r="297" spans="1:25" x14ac:dyDescent="0.25">
      <c r="A297" t="s">
        <v>25</v>
      </c>
      <c r="B297" t="s">
        <v>26</v>
      </c>
      <c r="C297">
        <v>2024</v>
      </c>
      <c r="D297" s="1">
        <v>45586</v>
      </c>
      <c r="E297" s="2">
        <v>0</v>
      </c>
      <c r="F297" t="s">
        <v>28</v>
      </c>
      <c r="G297" t="s">
        <v>50</v>
      </c>
      <c r="H297">
        <v>3</v>
      </c>
      <c r="I297">
        <v>5</v>
      </c>
      <c r="J297" t="s">
        <v>38</v>
      </c>
      <c r="K297">
        <v>537</v>
      </c>
      <c r="L297">
        <v>395</v>
      </c>
      <c r="M297">
        <v>168</v>
      </c>
      <c r="N297">
        <v>563</v>
      </c>
      <c r="O297">
        <v>395</v>
      </c>
      <c r="P297">
        <v>171</v>
      </c>
      <c r="Q297">
        <v>513</v>
      </c>
      <c r="R297">
        <v>38</v>
      </c>
      <c r="S297">
        <v>166</v>
      </c>
      <c r="T297" t="s">
        <v>95</v>
      </c>
      <c r="U297" t="s">
        <v>65</v>
      </c>
      <c r="V297" t="s">
        <v>190</v>
      </c>
      <c r="W297" t="s">
        <v>30</v>
      </c>
      <c r="X297" t="s">
        <v>30</v>
      </c>
      <c r="Y297" t="s">
        <v>30</v>
      </c>
    </row>
    <row r="298" spans="1:25" x14ac:dyDescent="0.25">
      <c r="A298" t="s">
        <v>25</v>
      </c>
      <c r="B298" t="s">
        <v>26</v>
      </c>
      <c r="C298">
        <v>2024</v>
      </c>
      <c r="D298" s="1">
        <v>45587</v>
      </c>
      <c r="E298" s="2">
        <v>0.97916666666666663</v>
      </c>
      <c r="F298" t="s">
        <v>34</v>
      </c>
      <c r="G298" t="s">
        <v>39</v>
      </c>
      <c r="H298">
        <v>1</v>
      </c>
      <c r="I298">
        <v>0</v>
      </c>
      <c r="J298" t="s">
        <v>33</v>
      </c>
      <c r="K298">
        <v>178</v>
      </c>
      <c r="L298">
        <v>341</v>
      </c>
      <c r="M298">
        <v>551</v>
      </c>
      <c r="N298">
        <v>191</v>
      </c>
      <c r="O298">
        <v>36</v>
      </c>
      <c r="P298">
        <v>551</v>
      </c>
      <c r="Q298">
        <v>177</v>
      </c>
      <c r="R298">
        <v>339</v>
      </c>
      <c r="S298">
        <v>504</v>
      </c>
      <c r="T298" t="s">
        <v>135</v>
      </c>
      <c r="U298" t="s">
        <v>58</v>
      </c>
      <c r="V298" t="s">
        <v>130</v>
      </c>
      <c r="W298" t="s">
        <v>30</v>
      </c>
      <c r="X298" t="s">
        <v>30</v>
      </c>
      <c r="Y298" t="s">
        <v>30</v>
      </c>
    </row>
    <row r="299" spans="1:25" x14ac:dyDescent="0.25">
      <c r="A299" t="s">
        <v>25</v>
      </c>
      <c r="B299" t="s">
        <v>26</v>
      </c>
      <c r="C299">
        <v>2024</v>
      </c>
      <c r="D299" s="1">
        <v>45589</v>
      </c>
      <c r="E299" s="2">
        <v>0.95833333333333326</v>
      </c>
      <c r="F299" t="s">
        <v>45</v>
      </c>
      <c r="G299" t="s">
        <v>40</v>
      </c>
      <c r="H299">
        <v>1</v>
      </c>
      <c r="I299">
        <v>0</v>
      </c>
      <c r="J299" t="s">
        <v>33</v>
      </c>
      <c r="K299">
        <v>181</v>
      </c>
      <c r="L299">
        <v>341</v>
      </c>
      <c r="M299">
        <v>528</v>
      </c>
      <c r="N299">
        <v>189</v>
      </c>
      <c r="O299">
        <v>341</v>
      </c>
      <c r="P299">
        <v>554</v>
      </c>
      <c r="Q299">
        <v>182</v>
      </c>
      <c r="R299">
        <v>329</v>
      </c>
      <c r="S299">
        <v>496</v>
      </c>
      <c r="T299" t="s">
        <v>96</v>
      </c>
      <c r="U299" t="s">
        <v>55</v>
      </c>
      <c r="V299" t="s">
        <v>130</v>
      </c>
      <c r="W299" t="s">
        <v>30</v>
      </c>
      <c r="X299" t="s">
        <v>30</v>
      </c>
      <c r="Y299" t="s">
        <v>30</v>
      </c>
    </row>
    <row r="300" spans="1:25" x14ac:dyDescent="0.25">
      <c r="A300" t="s">
        <v>25</v>
      </c>
      <c r="B300" t="s">
        <v>26</v>
      </c>
      <c r="C300">
        <v>2024</v>
      </c>
      <c r="D300" s="1">
        <v>45591</v>
      </c>
      <c r="E300" s="2">
        <v>0.85416666666666663</v>
      </c>
      <c r="F300" t="s">
        <v>42</v>
      </c>
      <c r="G300" t="s">
        <v>28</v>
      </c>
      <c r="H300">
        <v>4</v>
      </c>
      <c r="I300">
        <v>2</v>
      </c>
      <c r="J300" t="s">
        <v>33</v>
      </c>
      <c r="K300">
        <v>135</v>
      </c>
      <c r="L300">
        <v>521</v>
      </c>
      <c r="M300">
        <v>96</v>
      </c>
      <c r="N300">
        <v>138</v>
      </c>
      <c r="O300">
        <v>56</v>
      </c>
      <c r="P300">
        <v>106</v>
      </c>
      <c r="Q300">
        <v>134</v>
      </c>
      <c r="R300">
        <v>503</v>
      </c>
      <c r="S300">
        <v>913</v>
      </c>
      <c r="T300" t="s">
        <v>191</v>
      </c>
      <c r="U300" t="s">
        <v>145</v>
      </c>
      <c r="V300" t="s">
        <v>188</v>
      </c>
      <c r="W300" t="s">
        <v>30</v>
      </c>
      <c r="X300" t="s">
        <v>30</v>
      </c>
      <c r="Y300" t="s">
        <v>30</v>
      </c>
    </row>
    <row r="301" spans="1:25" x14ac:dyDescent="0.25">
      <c r="A301" t="s">
        <v>25</v>
      </c>
      <c r="B301" t="s">
        <v>26</v>
      </c>
      <c r="C301">
        <v>2024</v>
      </c>
      <c r="D301" s="1">
        <v>45591</v>
      </c>
      <c r="E301" s="2">
        <v>0.85416666666666663</v>
      </c>
      <c r="F301" t="s">
        <v>46</v>
      </c>
      <c r="G301" t="s">
        <v>41</v>
      </c>
      <c r="H301">
        <v>3</v>
      </c>
      <c r="I301">
        <v>1</v>
      </c>
      <c r="J301" t="s">
        <v>33</v>
      </c>
      <c r="K301">
        <v>159</v>
      </c>
      <c r="L301">
        <v>415</v>
      </c>
      <c r="M301">
        <v>598</v>
      </c>
      <c r="N301">
        <v>161</v>
      </c>
      <c r="O301">
        <v>433</v>
      </c>
      <c r="P301">
        <v>64</v>
      </c>
      <c r="Q301">
        <v>156</v>
      </c>
      <c r="R301">
        <v>41</v>
      </c>
      <c r="S301">
        <v>58</v>
      </c>
      <c r="T301" t="s">
        <v>192</v>
      </c>
      <c r="U301" t="s">
        <v>73</v>
      </c>
      <c r="V301" t="s">
        <v>159</v>
      </c>
      <c r="W301" t="s">
        <v>30</v>
      </c>
      <c r="X301" t="s">
        <v>30</v>
      </c>
      <c r="Y301" t="s">
        <v>30</v>
      </c>
    </row>
    <row r="302" spans="1:25" x14ac:dyDescent="0.25">
      <c r="A302" t="s">
        <v>25</v>
      </c>
      <c r="B302" t="s">
        <v>26</v>
      </c>
      <c r="C302">
        <v>2024</v>
      </c>
      <c r="D302" s="1">
        <v>45591</v>
      </c>
      <c r="E302" s="2">
        <v>0.85416666666666663</v>
      </c>
      <c r="F302" t="s">
        <v>50</v>
      </c>
      <c r="G302" t="s">
        <v>37</v>
      </c>
      <c r="H302">
        <v>2</v>
      </c>
      <c r="I302">
        <v>2</v>
      </c>
      <c r="J302" t="s">
        <v>29</v>
      </c>
      <c r="K302">
        <v>137</v>
      </c>
      <c r="L302">
        <v>523</v>
      </c>
      <c r="M302">
        <v>871</v>
      </c>
      <c r="N302">
        <v>14</v>
      </c>
      <c r="O302">
        <v>53</v>
      </c>
      <c r="P302">
        <v>9</v>
      </c>
      <c r="Q302">
        <v>136</v>
      </c>
      <c r="R302">
        <v>502</v>
      </c>
      <c r="S302">
        <v>824</v>
      </c>
      <c r="T302" t="s">
        <v>191</v>
      </c>
      <c r="U302" t="s">
        <v>98</v>
      </c>
      <c r="V302" t="s">
        <v>178</v>
      </c>
      <c r="W302" t="s">
        <v>30</v>
      </c>
      <c r="X302" t="s">
        <v>30</v>
      </c>
      <c r="Y302" t="s">
        <v>30</v>
      </c>
    </row>
    <row r="303" spans="1:25" x14ac:dyDescent="0.25">
      <c r="A303" t="s">
        <v>25</v>
      </c>
      <c r="B303" t="s">
        <v>26</v>
      </c>
      <c r="C303">
        <v>2024</v>
      </c>
      <c r="D303" s="1">
        <v>45591</v>
      </c>
      <c r="E303" s="2">
        <v>0.85416666666666663</v>
      </c>
      <c r="F303" t="s">
        <v>49</v>
      </c>
      <c r="G303" t="s">
        <v>34</v>
      </c>
      <c r="H303">
        <v>2</v>
      </c>
      <c r="I303">
        <v>1</v>
      </c>
      <c r="J303" t="s">
        <v>33</v>
      </c>
      <c r="K303">
        <v>246</v>
      </c>
      <c r="L303">
        <v>296</v>
      </c>
      <c r="M303">
        <v>346</v>
      </c>
      <c r="N303">
        <v>255</v>
      </c>
      <c r="O303">
        <v>296</v>
      </c>
      <c r="P303">
        <v>347</v>
      </c>
      <c r="Q303">
        <v>243</v>
      </c>
      <c r="R303">
        <v>291</v>
      </c>
      <c r="S303">
        <v>333</v>
      </c>
      <c r="T303" t="s">
        <v>67</v>
      </c>
      <c r="U303" t="s">
        <v>107</v>
      </c>
      <c r="V303" t="s">
        <v>58</v>
      </c>
      <c r="W303" t="s">
        <v>30</v>
      </c>
      <c r="X303" t="s">
        <v>30</v>
      </c>
      <c r="Y303" t="s">
        <v>30</v>
      </c>
    </row>
    <row r="304" spans="1:25" x14ac:dyDescent="0.25">
      <c r="A304" t="s">
        <v>25</v>
      </c>
      <c r="B304" t="s">
        <v>26</v>
      </c>
      <c r="C304">
        <v>2024</v>
      </c>
      <c r="D304" s="1">
        <v>45591</v>
      </c>
      <c r="E304" s="2">
        <v>0.9375</v>
      </c>
      <c r="F304" t="s">
        <v>39</v>
      </c>
      <c r="G304" t="s">
        <v>47</v>
      </c>
      <c r="H304">
        <v>3</v>
      </c>
      <c r="I304">
        <v>0</v>
      </c>
      <c r="J304" t="s">
        <v>33</v>
      </c>
      <c r="K304">
        <v>185</v>
      </c>
      <c r="L304">
        <v>352</v>
      </c>
      <c r="M304">
        <v>471</v>
      </c>
      <c r="N304">
        <v>192</v>
      </c>
      <c r="O304">
        <v>357</v>
      </c>
      <c r="P304">
        <v>475</v>
      </c>
      <c r="Q304">
        <v>183</v>
      </c>
      <c r="R304">
        <v>346</v>
      </c>
      <c r="S304">
        <v>449</v>
      </c>
      <c r="T304" t="s">
        <v>173</v>
      </c>
      <c r="U304" t="s">
        <v>137</v>
      </c>
      <c r="V304" t="s">
        <v>78</v>
      </c>
      <c r="W304" t="s">
        <v>30</v>
      </c>
      <c r="X304" t="s">
        <v>30</v>
      </c>
      <c r="Y304" t="s">
        <v>30</v>
      </c>
    </row>
    <row r="305" spans="1:25" x14ac:dyDescent="0.25">
      <c r="A305" t="s">
        <v>25</v>
      </c>
      <c r="B305" t="s">
        <v>26</v>
      </c>
      <c r="C305">
        <v>2024</v>
      </c>
      <c r="D305" s="1">
        <v>45591</v>
      </c>
      <c r="E305" s="2">
        <v>0.95833333333333326</v>
      </c>
      <c r="F305" t="s">
        <v>44</v>
      </c>
      <c r="G305" t="s">
        <v>31</v>
      </c>
      <c r="H305">
        <v>1</v>
      </c>
      <c r="I305">
        <v>3</v>
      </c>
      <c r="J305" t="s">
        <v>38</v>
      </c>
      <c r="K305">
        <v>36</v>
      </c>
      <c r="L305">
        <v>314</v>
      </c>
      <c r="M305">
        <v>229</v>
      </c>
      <c r="N305">
        <v>364</v>
      </c>
      <c r="O305">
        <v>315</v>
      </c>
      <c r="P305">
        <v>234</v>
      </c>
      <c r="Q305">
        <v>349</v>
      </c>
      <c r="R305">
        <v>309</v>
      </c>
      <c r="S305">
        <v>224</v>
      </c>
      <c r="T305" t="s">
        <v>137</v>
      </c>
      <c r="U305" t="s">
        <v>57</v>
      </c>
      <c r="V305" t="s">
        <v>181</v>
      </c>
      <c r="W305" t="s">
        <v>30</v>
      </c>
      <c r="X305" t="s">
        <v>30</v>
      </c>
      <c r="Y305" t="s">
        <v>30</v>
      </c>
    </row>
    <row r="306" spans="1:25" x14ac:dyDescent="0.25">
      <c r="A306" t="s">
        <v>25</v>
      </c>
      <c r="B306" t="s">
        <v>26</v>
      </c>
      <c r="C306">
        <v>2024</v>
      </c>
      <c r="D306" s="1">
        <v>45591</v>
      </c>
      <c r="E306" s="2">
        <v>0.95833333333333326</v>
      </c>
      <c r="F306" t="s">
        <v>35</v>
      </c>
      <c r="G306" t="s">
        <v>48</v>
      </c>
      <c r="H306">
        <v>0</v>
      </c>
      <c r="I306">
        <v>1</v>
      </c>
      <c r="J306" t="s">
        <v>38</v>
      </c>
      <c r="K306">
        <v>366</v>
      </c>
      <c r="L306">
        <v>342</v>
      </c>
      <c r="M306">
        <v>214</v>
      </c>
      <c r="N306">
        <v>38</v>
      </c>
      <c r="O306">
        <v>35</v>
      </c>
      <c r="P306">
        <v>217</v>
      </c>
      <c r="Q306">
        <v>357</v>
      </c>
      <c r="R306">
        <v>337</v>
      </c>
      <c r="S306">
        <v>209</v>
      </c>
      <c r="T306" t="s">
        <v>104</v>
      </c>
      <c r="U306" t="s">
        <v>97</v>
      </c>
      <c r="V306" t="s">
        <v>193</v>
      </c>
      <c r="W306" t="s">
        <v>30</v>
      </c>
      <c r="X306" t="s">
        <v>30</v>
      </c>
      <c r="Y306" t="s">
        <v>30</v>
      </c>
    </row>
    <row r="307" spans="1:25" x14ac:dyDescent="0.25">
      <c r="A307" t="s">
        <v>25</v>
      </c>
      <c r="B307" t="s">
        <v>26</v>
      </c>
      <c r="C307">
        <v>2024</v>
      </c>
      <c r="D307" s="1">
        <v>45592</v>
      </c>
      <c r="E307" s="2">
        <v>4.1666666666666664E-2</v>
      </c>
      <c r="F307" t="s">
        <v>27</v>
      </c>
      <c r="G307" t="s">
        <v>36</v>
      </c>
      <c r="H307">
        <v>1</v>
      </c>
      <c r="I307">
        <v>1</v>
      </c>
      <c r="J307" t="s">
        <v>29</v>
      </c>
      <c r="K307">
        <v>333</v>
      </c>
      <c r="L307">
        <v>31</v>
      </c>
      <c r="M307">
        <v>243</v>
      </c>
      <c r="N307">
        <v>325</v>
      </c>
      <c r="O307">
        <v>309</v>
      </c>
      <c r="P307">
        <v>245</v>
      </c>
      <c r="Q307">
        <v>317</v>
      </c>
      <c r="R307">
        <v>303</v>
      </c>
      <c r="S307">
        <v>24</v>
      </c>
      <c r="T307" t="s">
        <v>55</v>
      </c>
      <c r="U307" t="s">
        <v>68</v>
      </c>
      <c r="V307" t="s">
        <v>151</v>
      </c>
      <c r="W307" t="s">
        <v>30</v>
      </c>
      <c r="X307" t="s">
        <v>30</v>
      </c>
      <c r="Y307" t="s">
        <v>30</v>
      </c>
    </row>
    <row r="308" spans="1:25" x14ac:dyDescent="0.25">
      <c r="A308" t="s">
        <v>25</v>
      </c>
      <c r="B308" t="s">
        <v>26</v>
      </c>
      <c r="C308">
        <v>2024</v>
      </c>
      <c r="D308" s="1">
        <v>45593</v>
      </c>
      <c r="E308" s="2">
        <v>0.91666666666666663</v>
      </c>
      <c r="F308" t="s">
        <v>40</v>
      </c>
      <c r="G308" t="s">
        <v>43</v>
      </c>
      <c r="H308">
        <v>0</v>
      </c>
      <c r="I308">
        <v>1</v>
      </c>
      <c r="J308" t="s">
        <v>38</v>
      </c>
      <c r="K308">
        <v>342</v>
      </c>
      <c r="L308">
        <v>304</v>
      </c>
      <c r="M308">
        <v>243</v>
      </c>
      <c r="N308">
        <v>347</v>
      </c>
      <c r="O308">
        <v>315</v>
      </c>
      <c r="P308">
        <v>247</v>
      </c>
      <c r="Q308">
        <v>33</v>
      </c>
      <c r="R308">
        <v>301</v>
      </c>
      <c r="S308">
        <v>236</v>
      </c>
      <c r="T308" t="s">
        <v>58</v>
      </c>
      <c r="U308" t="s">
        <v>85</v>
      </c>
      <c r="V308" t="s">
        <v>114</v>
      </c>
      <c r="W308" t="s">
        <v>30</v>
      </c>
      <c r="X308" t="s">
        <v>30</v>
      </c>
      <c r="Y308" t="s">
        <v>30</v>
      </c>
    </row>
    <row r="309" spans="1:25" x14ac:dyDescent="0.25">
      <c r="A309" t="s">
        <v>25</v>
      </c>
      <c r="B309" t="s">
        <v>26</v>
      </c>
      <c r="C309">
        <v>2024</v>
      </c>
      <c r="D309" s="1">
        <v>45594</v>
      </c>
      <c r="E309" s="2">
        <v>0</v>
      </c>
      <c r="F309" t="s">
        <v>45</v>
      </c>
      <c r="G309" t="s">
        <v>32</v>
      </c>
      <c r="H309">
        <v>3</v>
      </c>
      <c r="I309">
        <v>2</v>
      </c>
      <c r="J309" t="s">
        <v>33</v>
      </c>
      <c r="K309">
        <v>29</v>
      </c>
      <c r="L309">
        <v>335</v>
      </c>
      <c r="M309">
        <v>257</v>
      </c>
      <c r="N309">
        <v>294</v>
      </c>
      <c r="O309">
        <v>345</v>
      </c>
      <c r="P309">
        <v>265</v>
      </c>
      <c r="Q309">
        <v>28</v>
      </c>
      <c r="R309">
        <v>33</v>
      </c>
      <c r="S309">
        <v>253</v>
      </c>
      <c r="T309" t="s">
        <v>148</v>
      </c>
      <c r="U309" t="s">
        <v>55</v>
      </c>
      <c r="V309" t="s">
        <v>51</v>
      </c>
      <c r="W309" t="s">
        <v>30</v>
      </c>
      <c r="X309" t="s">
        <v>30</v>
      </c>
      <c r="Y309" t="s">
        <v>30</v>
      </c>
    </row>
    <row r="310" spans="1:25" x14ac:dyDescent="0.25">
      <c r="A310" t="s">
        <v>25</v>
      </c>
      <c r="B310" t="s">
        <v>26</v>
      </c>
      <c r="C310">
        <v>2024</v>
      </c>
      <c r="D310" s="1">
        <v>45595</v>
      </c>
      <c r="E310" s="2">
        <v>0.91666666666666663</v>
      </c>
      <c r="F310" t="s">
        <v>31</v>
      </c>
      <c r="G310" t="s">
        <v>42</v>
      </c>
      <c r="H310">
        <v>1</v>
      </c>
      <c r="I310">
        <v>1</v>
      </c>
      <c r="J310" t="s">
        <v>29</v>
      </c>
      <c r="K310">
        <v>187</v>
      </c>
      <c r="L310">
        <v>354</v>
      </c>
      <c r="M310">
        <v>458</v>
      </c>
      <c r="N310">
        <v>191</v>
      </c>
      <c r="O310">
        <v>354</v>
      </c>
      <c r="P310">
        <v>462</v>
      </c>
      <c r="Q310">
        <v>185</v>
      </c>
      <c r="R310">
        <v>346</v>
      </c>
      <c r="S310">
        <v>439</v>
      </c>
      <c r="T310" t="s">
        <v>194</v>
      </c>
      <c r="U310" t="s">
        <v>137</v>
      </c>
      <c r="V310" t="s">
        <v>117</v>
      </c>
      <c r="W310" t="s">
        <v>30</v>
      </c>
      <c r="X310" t="s">
        <v>30</v>
      </c>
      <c r="Y310" t="s">
        <v>30</v>
      </c>
    </row>
    <row r="311" spans="1:25" x14ac:dyDescent="0.25">
      <c r="A311" t="s">
        <v>25</v>
      </c>
      <c r="B311" t="s">
        <v>26</v>
      </c>
      <c r="C311">
        <v>2024</v>
      </c>
      <c r="D311" s="1">
        <v>45598</v>
      </c>
      <c r="E311" s="2">
        <v>0</v>
      </c>
      <c r="F311" t="s">
        <v>34</v>
      </c>
      <c r="G311" t="s">
        <v>46</v>
      </c>
      <c r="H311">
        <v>2</v>
      </c>
      <c r="I311">
        <v>2</v>
      </c>
      <c r="J311" t="s">
        <v>29</v>
      </c>
      <c r="K311">
        <v>214</v>
      </c>
      <c r="L311">
        <v>324</v>
      </c>
      <c r="M311">
        <v>388</v>
      </c>
      <c r="N311">
        <v>216</v>
      </c>
      <c r="O311">
        <v>327</v>
      </c>
      <c r="P311">
        <v>392</v>
      </c>
      <c r="Q311">
        <v>211</v>
      </c>
      <c r="R311">
        <v>319</v>
      </c>
      <c r="S311">
        <v>371</v>
      </c>
      <c r="T311" t="s">
        <v>195</v>
      </c>
      <c r="U311" t="s">
        <v>68</v>
      </c>
      <c r="V311" t="s">
        <v>94</v>
      </c>
      <c r="W311" t="s">
        <v>30</v>
      </c>
      <c r="X311" t="s">
        <v>30</v>
      </c>
      <c r="Y311" t="s">
        <v>30</v>
      </c>
    </row>
    <row r="312" spans="1:25" x14ac:dyDescent="0.25">
      <c r="A312" t="s">
        <v>25</v>
      </c>
      <c r="B312" t="s">
        <v>26</v>
      </c>
      <c r="C312">
        <v>2024</v>
      </c>
      <c r="D312" s="1">
        <v>45598</v>
      </c>
      <c r="E312" s="2">
        <v>0.79166666666666663</v>
      </c>
      <c r="F312" t="s">
        <v>35</v>
      </c>
      <c r="G312" t="s">
        <v>40</v>
      </c>
      <c r="H312">
        <v>0</v>
      </c>
      <c r="I312">
        <v>0</v>
      </c>
      <c r="J312" t="s">
        <v>29</v>
      </c>
      <c r="K312">
        <v>168</v>
      </c>
      <c r="L312">
        <v>356</v>
      </c>
      <c r="M312">
        <v>619</v>
      </c>
      <c r="N312">
        <v>174</v>
      </c>
      <c r="O312">
        <v>37</v>
      </c>
      <c r="P312">
        <v>636</v>
      </c>
      <c r="Q312">
        <v>169</v>
      </c>
      <c r="R312">
        <v>347</v>
      </c>
      <c r="S312">
        <v>576</v>
      </c>
      <c r="T312" t="s">
        <v>93</v>
      </c>
      <c r="U312" t="s">
        <v>97</v>
      </c>
      <c r="V312" t="s">
        <v>159</v>
      </c>
      <c r="W312" t="s">
        <v>30</v>
      </c>
      <c r="X312" t="s">
        <v>30</v>
      </c>
      <c r="Y312" t="s">
        <v>30</v>
      </c>
    </row>
    <row r="313" spans="1:25" x14ac:dyDescent="0.25">
      <c r="A313" t="s">
        <v>25</v>
      </c>
      <c r="B313" t="s">
        <v>26</v>
      </c>
      <c r="C313">
        <v>2024</v>
      </c>
      <c r="D313" s="1">
        <v>45598</v>
      </c>
      <c r="E313" s="2">
        <v>0.89583333333333326</v>
      </c>
      <c r="F313" t="s">
        <v>39</v>
      </c>
      <c r="G313" t="s">
        <v>49</v>
      </c>
      <c r="H313">
        <v>1</v>
      </c>
      <c r="I313">
        <v>2</v>
      </c>
      <c r="J313" t="s">
        <v>38</v>
      </c>
      <c r="K313">
        <v>183</v>
      </c>
      <c r="L313">
        <v>343</v>
      </c>
      <c r="M313">
        <v>509</v>
      </c>
      <c r="N313">
        <v>189</v>
      </c>
      <c r="O313">
        <v>365</v>
      </c>
      <c r="P313">
        <v>524</v>
      </c>
      <c r="Q313">
        <v>181</v>
      </c>
      <c r="R313">
        <v>339</v>
      </c>
      <c r="S313">
        <v>483</v>
      </c>
      <c r="T313" t="s">
        <v>103</v>
      </c>
      <c r="U313" t="s">
        <v>137</v>
      </c>
      <c r="V313" t="s">
        <v>98</v>
      </c>
      <c r="W313" t="s">
        <v>30</v>
      </c>
      <c r="X313" t="s">
        <v>30</v>
      </c>
      <c r="Y313" t="s">
        <v>30</v>
      </c>
    </row>
    <row r="314" spans="1:25" x14ac:dyDescent="0.25">
      <c r="A314" t="s">
        <v>25</v>
      </c>
      <c r="B314" t="s">
        <v>26</v>
      </c>
      <c r="C314">
        <v>2024</v>
      </c>
      <c r="D314" s="1">
        <v>45598</v>
      </c>
      <c r="E314" s="2">
        <v>0.89583333333333326</v>
      </c>
      <c r="F314" t="s">
        <v>28</v>
      </c>
      <c r="G314" t="s">
        <v>37</v>
      </c>
      <c r="H314">
        <v>0</v>
      </c>
      <c r="I314">
        <v>3</v>
      </c>
      <c r="J314" t="s">
        <v>38</v>
      </c>
      <c r="K314">
        <v>256</v>
      </c>
      <c r="L314">
        <v>32</v>
      </c>
      <c r="M314">
        <v>303</v>
      </c>
      <c r="N314">
        <v>263</v>
      </c>
      <c r="O314">
        <v>329</v>
      </c>
      <c r="P314">
        <v>303</v>
      </c>
      <c r="Q314">
        <v>252</v>
      </c>
      <c r="R314">
        <v>317</v>
      </c>
      <c r="S314">
        <v>291</v>
      </c>
      <c r="T314" t="s">
        <v>136</v>
      </c>
      <c r="U314" t="s">
        <v>52</v>
      </c>
      <c r="V314" t="s">
        <v>107</v>
      </c>
      <c r="W314" t="s">
        <v>30</v>
      </c>
      <c r="X314" t="s">
        <v>30</v>
      </c>
      <c r="Y314" t="s">
        <v>30</v>
      </c>
    </row>
    <row r="315" spans="1:25" x14ac:dyDescent="0.25">
      <c r="A315" t="s">
        <v>25</v>
      </c>
      <c r="B315" t="s">
        <v>26</v>
      </c>
      <c r="C315">
        <v>2024</v>
      </c>
      <c r="D315" s="1">
        <v>45600</v>
      </c>
      <c r="E315" s="2">
        <v>0.95833333333333326</v>
      </c>
      <c r="F315" t="s">
        <v>43</v>
      </c>
      <c r="G315" t="s">
        <v>50</v>
      </c>
      <c r="H315">
        <v>2</v>
      </c>
      <c r="I315">
        <v>0</v>
      </c>
      <c r="J315" t="s">
        <v>33</v>
      </c>
      <c r="K315">
        <v>321</v>
      </c>
      <c r="L315">
        <v>318</v>
      </c>
      <c r="M315">
        <v>245</v>
      </c>
      <c r="N315">
        <v>334</v>
      </c>
      <c r="O315">
        <v>34</v>
      </c>
      <c r="P315">
        <v>246</v>
      </c>
      <c r="Q315">
        <v>314</v>
      </c>
      <c r="R315">
        <v>321</v>
      </c>
      <c r="S315">
        <v>235</v>
      </c>
      <c r="T315" t="s">
        <v>57</v>
      </c>
      <c r="U315" t="s">
        <v>52</v>
      </c>
      <c r="V315" t="s">
        <v>114</v>
      </c>
      <c r="W315" t="s">
        <v>30</v>
      </c>
      <c r="X315" t="s">
        <v>30</v>
      </c>
      <c r="Y315" t="s">
        <v>30</v>
      </c>
    </row>
    <row r="316" spans="1:25" x14ac:dyDescent="0.25">
      <c r="A316" t="s">
        <v>25</v>
      </c>
      <c r="B316" t="s">
        <v>26</v>
      </c>
      <c r="C316">
        <v>2024</v>
      </c>
      <c r="D316" s="1">
        <v>45602</v>
      </c>
      <c r="E316" s="2">
        <v>2.0833333333333332E-2</v>
      </c>
      <c r="F316" t="s">
        <v>32</v>
      </c>
      <c r="G316" t="s">
        <v>36</v>
      </c>
      <c r="H316">
        <v>0</v>
      </c>
      <c r="I316">
        <v>3</v>
      </c>
      <c r="J316" t="s">
        <v>38</v>
      </c>
      <c r="K316">
        <v>232</v>
      </c>
      <c r="L316">
        <v>316</v>
      </c>
      <c r="M316">
        <v>349</v>
      </c>
      <c r="N316">
        <v>236</v>
      </c>
      <c r="O316">
        <v>325</v>
      </c>
      <c r="P316">
        <v>35</v>
      </c>
      <c r="Q316">
        <v>228</v>
      </c>
      <c r="R316">
        <v>311</v>
      </c>
      <c r="S316">
        <v>337</v>
      </c>
      <c r="T316" t="s">
        <v>79</v>
      </c>
      <c r="U316" t="s">
        <v>57</v>
      </c>
      <c r="V316" t="s">
        <v>74</v>
      </c>
      <c r="W316" t="s">
        <v>30</v>
      </c>
      <c r="X316" t="s">
        <v>30</v>
      </c>
      <c r="Y316" t="s">
        <v>30</v>
      </c>
    </row>
    <row r="317" spans="1:25" x14ac:dyDescent="0.25">
      <c r="A317" t="s">
        <v>25</v>
      </c>
      <c r="B317" t="s">
        <v>26</v>
      </c>
      <c r="C317">
        <v>2024</v>
      </c>
      <c r="D317" s="1">
        <v>45602</v>
      </c>
      <c r="E317" s="2">
        <v>2.0833333333333332E-2</v>
      </c>
      <c r="F317" t="s">
        <v>48</v>
      </c>
      <c r="G317" t="s">
        <v>45</v>
      </c>
      <c r="H317">
        <v>3</v>
      </c>
      <c r="I317">
        <v>0</v>
      </c>
      <c r="J317" t="s">
        <v>33</v>
      </c>
      <c r="K317">
        <v>143</v>
      </c>
      <c r="L317">
        <v>497</v>
      </c>
      <c r="M317">
        <v>845</v>
      </c>
      <c r="N317">
        <v>144</v>
      </c>
      <c r="O317">
        <v>51</v>
      </c>
      <c r="P317">
        <v>9</v>
      </c>
      <c r="Q317">
        <v>139</v>
      </c>
      <c r="R317">
        <v>475</v>
      </c>
      <c r="S317">
        <v>794</v>
      </c>
      <c r="T317" t="s">
        <v>196</v>
      </c>
      <c r="U317" t="s">
        <v>60</v>
      </c>
      <c r="V317" t="s">
        <v>91</v>
      </c>
      <c r="W317" t="s">
        <v>30</v>
      </c>
      <c r="X317" t="s">
        <v>30</v>
      </c>
      <c r="Y317" t="s">
        <v>30</v>
      </c>
    </row>
    <row r="318" spans="1:25" x14ac:dyDescent="0.25">
      <c r="A318" t="s">
        <v>25</v>
      </c>
      <c r="B318" t="s">
        <v>26</v>
      </c>
      <c r="C318">
        <v>2024</v>
      </c>
      <c r="D318" s="1">
        <v>45602</v>
      </c>
      <c r="E318" s="2">
        <v>2.0833333333333332E-2</v>
      </c>
      <c r="F318" t="s">
        <v>31</v>
      </c>
      <c r="G318" t="s">
        <v>27</v>
      </c>
      <c r="H318">
        <v>2</v>
      </c>
      <c r="I318">
        <v>0</v>
      </c>
      <c r="J318" t="s">
        <v>33</v>
      </c>
      <c r="K318">
        <v>136</v>
      </c>
      <c r="L318">
        <v>523</v>
      </c>
      <c r="M318">
        <v>879</v>
      </c>
      <c r="N318">
        <v>139</v>
      </c>
      <c r="O318">
        <v>54</v>
      </c>
      <c r="P318">
        <v>10</v>
      </c>
      <c r="Q318">
        <v>135</v>
      </c>
      <c r="R318">
        <v>505</v>
      </c>
      <c r="S318">
        <v>846</v>
      </c>
      <c r="T318" t="s">
        <v>191</v>
      </c>
      <c r="U318" t="s">
        <v>105</v>
      </c>
      <c r="V318" t="s">
        <v>178</v>
      </c>
      <c r="W318" t="s">
        <v>30</v>
      </c>
      <c r="X318" t="s">
        <v>30</v>
      </c>
      <c r="Y318" t="s">
        <v>30</v>
      </c>
    </row>
    <row r="319" spans="1:25" x14ac:dyDescent="0.25">
      <c r="A319" t="s">
        <v>25</v>
      </c>
      <c r="B319" t="s">
        <v>26</v>
      </c>
      <c r="C319">
        <v>2024</v>
      </c>
      <c r="D319" s="1">
        <v>45603</v>
      </c>
      <c r="E319" s="2">
        <v>0</v>
      </c>
      <c r="F319" t="s">
        <v>41</v>
      </c>
      <c r="G319" t="s">
        <v>44</v>
      </c>
      <c r="H319">
        <v>1</v>
      </c>
      <c r="I319">
        <v>0</v>
      </c>
      <c r="J319" t="s">
        <v>33</v>
      </c>
      <c r="K319">
        <v>224</v>
      </c>
      <c r="L319">
        <v>328</v>
      </c>
      <c r="M319">
        <v>353</v>
      </c>
      <c r="N319">
        <v>25</v>
      </c>
      <c r="O319">
        <v>33</v>
      </c>
      <c r="P319">
        <v>353</v>
      </c>
      <c r="Q319">
        <v>227</v>
      </c>
      <c r="R319">
        <v>32</v>
      </c>
      <c r="S319">
        <v>331</v>
      </c>
      <c r="T319" t="s">
        <v>151</v>
      </c>
      <c r="U319" t="s">
        <v>52</v>
      </c>
      <c r="V319" t="s">
        <v>80</v>
      </c>
      <c r="W319" t="s">
        <v>30</v>
      </c>
      <c r="X319" t="s">
        <v>30</v>
      </c>
      <c r="Y319" t="s">
        <v>30</v>
      </c>
    </row>
    <row r="320" spans="1:25" x14ac:dyDescent="0.25">
      <c r="A320" t="s">
        <v>25</v>
      </c>
      <c r="B320" t="s">
        <v>26</v>
      </c>
      <c r="C320">
        <v>2024</v>
      </c>
      <c r="D320" s="1">
        <v>45603</v>
      </c>
      <c r="E320" s="2">
        <v>0</v>
      </c>
      <c r="F320" t="s">
        <v>47</v>
      </c>
      <c r="G320" t="s">
        <v>42</v>
      </c>
      <c r="H320">
        <v>0</v>
      </c>
      <c r="I320">
        <v>1</v>
      </c>
      <c r="J320" t="s">
        <v>38</v>
      </c>
      <c r="K320">
        <v>265</v>
      </c>
      <c r="L320">
        <v>316</v>
      </c>
      <c r="M320">
        <v>295</v>
      </c>
      <c r="N320">
        <v>273</v>
      </c>
      <c r="O320">
        <v>33</v>
      </c>
      <c r="P320">
        <v>32</v>
      </c>
      <c r="Q320">
        <v>255</v>
      </c>
      <c r="R320">
        <v>312</v>
      </c>
      <c r="S320">
        <v>292</v>
      </c>
      <c r="T320" t="s">
        <v>171</v>
      </c>
      <c r="U320" t="s">
        <v>69</v>
      </c>
      <c r="V320" t="s">
        <v>53</v>
      </c>
      <c r="W320" t="s">
        <v>30</v>
      </c>
      <c r="X320" t="s">
        <v>30</v>
      </c>
      <c r="Y320" t="s">
        <v>30</v>
      </c>
    </row>
    <row r="321" spans="1:25" x14ac:dyDescent="0.25">
      <c r="A321" t="s">
        <v>25</v>
      </c>
      <c r="B321" t="s">
        <v>26</v>
      </c>
      <c r="C321">
        <v>2024</v>
      </c>
      <c r="D321" s="1">
        <v>45604</v>
      </c>
      <c r="E321" s="2">
        <v>0.91666666666666663</v>
      </c>
      <c r="F321" t="s">
        <v>31</v>
      </c>
      <c r="G321" t="s">
        <v>34</v>
      </c>
      <c r="H321">
        <v>2</v>
      </c>
      <c r="I321">
        <v>0</v>
      </c>
      <c r="J321" t="s">
        <v>33</v>
      </c>
      <c r="K321">
        <v>15</v>
      </c>
      <c r="L321">
        <v>424</v>
      </c>
      <c r="M321">
        <v>735</v>
      </c>
      <c r="N321">
        <v>152</v>
      </c>
      <c r="O321">
        <v>46</v>
      </c>
      <c r="P321">
        <v>8</v>
      </c>
      <c r="Q321">
        <v>147</v>
      </c>
      <c r="R321">
        <v>42</v>
      </c>
      <c r="S321">
        <v>713</v>
      </c>
      <c r="T321" t="s">
        <v>197</v>
      </c>
      <c r="U321" t="s">
        <v>111</v>
      </c>
      <c r="V321" t="s">
        <v>118</v>
      </c>
      <c r="W321" t="s">
        <v>30</v>
      </c>
      <c r="X321" t="s">
        <v>30</v>
      </c>
      <c r="Y321" t="s">
        <v>30</v>
      </c>
    </row>
    <row r="322" spans="1:25" x14ac:dyDescent="0.25">
      <c r="A322" t="s">
        <v>25</v>
      </c>
      <c r="B322" t="s">
        <v>26</v>
      </c>
      <c r="C322">
        <v>2024</v>
      </c>
      <c r="D322" s="1">
        <v>45605</v>
      </c>
      <c r="E322" s="2">
        <v>2.0833333333333332E-2</v>
      </c>
      <c r="F322" t="s">
        <v>50</v>
      </c>
      <c r="G322" t="s">
        <v>46</v>
      </c>
      <c r="H322">
        <v>1</v>
      </c>
      <c r="I322">
        <v>0</v>
      </c>
      <c r="J322" t="s">
        <v>33</v>
      </c>
      <c r="K322">
        <v>138</v>
      </c>
      <c r="L322">
        <v>524</v>
      </c>
      <c r="M322">
        <v>827</v>
      </c>
      <c r="N322">
        <v>141</v>
      </c>
      <c r="O322">
        <v>536</v>
      </c>
      <c r="P322">
        <v>827</v>
      </c>
      <c r="Q322">
        <v>137</v>
      </c>
      <c r="R322">
        <v>509</v>
      </c>
      <c r="S322">
        <v>768</v>
      </c>
      <c r="T322" t="s">
        <v>177</v>
      </c>
      <c r="U322" t="s">
        <v>145</v>
      </c>
      <c r="V322" t="s">
        <v>91</v>
      </c>
      <c r="W322" t="s">
        <v>30</v>
      </c>
      <c r="X322" t="s">
        <v>30</v>
      </c>
      <c r="Y322" t="s">
        <v>30</v>
      </c>
    </row>
    <row r="323" spans="1:25" x14ac:dyDescent="0.25">
      <c r="A323" t="s">
        <v>25</v>
      </c>
      <c r="B323" t="s">
        <v>26</v>
      </c>
      <c r="C323">
        <v>2024</v>
      </c>
      <c r="D323" s="1">
        <v>45605</v>
      </c>
      <c r="E323" s="2">
        <v>0.8125</v>
      </c>
      <c r="F323" t="s">
        <v>48</v>
      </c>
      <c r="G323" t="s">
        <v>40</v>
      </c>
      <c r="H323">
        <v>0</v>
      </c>
      <c r="I323">
        <v>0</v>
      </c>
      <c r="J323" t="s">
        <v>29</v>
      </c>
      <c r="K323">
        <v>123</v>
      </c>
      <c r="L323">
        <v>631</v>
      </c>
      <c r="M323">
        <v>1461</v>
      </c>
      <c r="N323">
        <v>125</v>
      </c>
      <c r="O323">
        <v>65</v>
      </c>
      <c r="P323">
        <v>15</v>
      </c>
      <c r="Q323">
        <v>122</v>
      </c>
      <c r="R323">
        <v>6</v>
      </c>
      <c r="S323">
        <v>138</v>
      </c>
      <c r="T323" t="s">
        <v>198</v>
      </c>
      <c r="U323" t="s">
        <v>159</v>
      </c>
      <c r="V323" t="s">
        <v>199</v>
      </c>
      <c r="W323" t="s">
        <v>30</v>
      </c>
      <c r="X323" t="s">
        <v>30</v>
      </c>
      <c r="Y323" t="s">
        <v>30</v>
      </c>
    </row>
    <row r="324" spans="1:25" x14ac:dyDescent="0.25">
      <c r="A324" t="s">
        <v>25</v>
      </c>
      <c r="B324" t="s">
        <v>26</v>
      </c>
      <c r="C324">
        <v>2024</v>
      </c>
      <c r="D324" s="1">
        <v>45605</v>
      </c>
      <c r="E324" s="2">
        <v>0.8125</v>
      </c>
      <c r="F324" t="s">
        <v>49</v>
      </c>
      <c r="G324" t="s">
        <v>43</v>
      </c>
      <c r="H324">
        <v>1</v>
      </c>
      <c r="I324">
        <v>2</v>
      </c>
      <c r="J324" t="s">
        <v>38</v>
      </c>
      <c r="K324">
        <v>324</v>
      </c>
      <c r="L324">
        <v>303</v>
      </c>
      <c r="M324">
        <v>253</v>
      </c>
      <c r="N324">
        <v>329</v>
      </c>
      <c r="O324">
        <v>32</v>
      </c>
      <c r="P324">
        <v>256</v>
      </c>
      <c r="Q324">
        <v>312</v>
      </c>
      <c r="R324">
        <v>303</v>
      </c>
      <c r="S324">
        <v>247</v>
      </c>
      <c r="T324" t="s">
        <v>57</v>
      </c>
      <c r="U324" t="s">
        <v>68</v>
      </c>
      <c r="V324" t="s">
        <v>165</v>
      </c>
      <c r="W324" t="s">
        <v>30</v>
      </c>
      <c r="X324" t="s">
        <v>30</v>
      </c>
      <c r="Y324" t="s">
        <v>30</v>
      </c>
    </row>
    <row r="325" spans="1:25" x14ac:dyDescent="0.25">
      <c r="A325" t="s">
        <v>25</v>
      </c>
      <c r="B325" t="s">
        <v>26</v>
      </c>
      <c r="C325">
        <v>2024</v>
      </c>
      <c r="D325" s="1">
        <v>45605</v>
      </c>
      <c r="E325" s="2">
        <v>0.91666666666666663</v>
      </c>
      <c r="F325" t="s">
        <v>41</v>
      </c>
      <c r="G325" t="s">
        <v>35</v>
      </c>
      <c r="H325">
        <v>0</v>
      </c>
      <c r="I325">
        <v>0</v>
      </c>
      <c r="J325" t="s">
        <v>29</v>
      </c>
      <c r="K325">
        <v>268</v>
      </c>
      <c r="L325">
        <v>338</v>
      </c>
      <c r="M325">
        <v>275</v>
      </c>
      <c r="N325">
        <v>276</v>
      </c>
      <c r="O325">
        <v>36</v>
      </c>
      <c r="P325">
        <v>285</v>
      </c>
      <c r="Q325">
        <v>261</v>
      </c>
      <c r="R325">
        <v>335</v>
      </c>
      <c r="S325">
        <v>267</v>
      </c>
      <c r="T325" t="s">
        <v>184</v>
      </c>
      <c r="U325" t="s">
        <v>55</v>
      </c>
      <c r="V325" t="s">
        <v>146</v>
      </c>
      <c r="W325" t="s">
        <v>30</v>
      </c>
      <c r="X325" t="s">
        <v>30</v>
      </c>
      <c r="Y325" t="s">
        <v>30</v>
      </c>
    </row>
    <row r="326" spans="1:25" x14ac:dyDescent="0.25">
      <c r="A326" t="s">
        <v>25</v>
      </c>
      <c r="B326" t="s">
        <v>26</v>
      </c>
      <c r="C326">
        <v>2024</v>
      </c>
      <c r="D326" s="1">
        <v>45605</v>
      </c>
      <c r="E326" s="2">
        <v>0.91666666666666663</v>
      </c>
      <c r="F326" t="s">
        <v>47</v>
      </c>
      <c r="G326" t="s">
        <v>27</v>
      </c>
      <c r="H326">
        <v>2</v>
      </c>
      <c r="I326">
        <v>1</v>
      </c>
      <c r="J326" t="s">
        <v>33</v>
      </c>
      <c r="K326">
        <v>163</v>
      </c>
      <c r="L326">
        <v>395</v>
      </c>
      <c r="M326">
        <v>583</v>
      </c>
      <c r="N326">
        <v>168</v>
      </c>
      <c r="O326">
        <v>395</v>
      </c>
      <c r="P326">
        <v>609</v>
      </c>
      <c r="Q326">
        <v>163</v>
      </c>
      <c r="R326">
        <v>378</v>
      </c>
      <c r="S326">
        <v>56</v>
      </c>
      <c r="T326" t="s">
        <v>170</v>
      </c>
      <c r="U326" t="s">
        <v>83</v>
      </c>
      <c r="V326" t="s">
        <v>159</v>
      </c>
      <c r="W326" t="s">
        <v>30</v>
      </c>
      <c r="X326" t="s">
        <v>30</v>
      </c>
      <c r="Y326" t="s">
        <v>30</v>
      </c>
    </row>
    <row r="327" spans="1:25" x14ac:dyDescent="0.25">
      <c r="A327" t="s">
        <v>25</v>
      </c>
      <c r="B327" t="s">
        <v>26</v>
      </c>
      <c r="C327">
        <v>2024</v>
      </c>
      <c r="D327" s="1">
        <v>45605</v>
      </c>
      <c r="E327" s="2">
        <v>0.91666666666666663</v>
      </c>
      <c r="F327" t="s">
        <v>37</v>
      </c>
      <c r="G327" t="s">
        <v>45</v>
      </c>
      <c r="H327">
        <v>3</v>
      </c>
      <c r="I327">
        <v>0</v>
      </c>
      <c r="J327" t="s">
        <v>33</v>
      </c>
      <c r="K327">
        <v>174</v>
      </c>
      <c r="L327">
        <v>371</v>
      </c>
      <c r="M327">
        <v>524</v>
      </c>
      <c r="N327">
        <v>175</v>
      </c>
      <c r="O327">
        <v>38</v>
      </c>
      <c r="P327">
        <v>53</v>
      </c>
      <c r="Q327">
        <v>171</v>
      </c>
      <c r="R327">
        <v>369</v>
      </c>
      <c r="S327">
        <v>497</v>
      </c>
      <c r="T327" t="s">
        <v>139</v>
      </c>
      <c r="U327" t="s">
        <v>94</v>
      </c>
      <c r="V327" t="s">
        <v>130</v>
      </c>
      <c r="W327" t="s">
        <v>30</v>
      </c>
      <c r="X327" t="s">
        <v>30</v>
      </c>
      <c r="Y327" t="s">
        <v>30</v>
      </c>
    </row>
    <row r="328" spans="1:25" x14ac:dyDescent="0.25">
      <c r="A328" t="s">
        <v>25</v>
      </c>
      <c r="B328" t="s">
        <v>26</v>
      </c>
      <c r="C328">
        <v>2024</v>
      </c>
      <c r="D328" s="1">
        <v>45605</v>
      </c>
      <c r="E328" s="2">
        <v>0.91666666666666663</v>
      </c>
      <c r="F328" t="s">
        <v>28</v>
      </c>
      <c r="G328" t="s">
        <v>32</v>
      </c>
      <c r="H328">
        <v>2</v>
      </c>
      <c r="I328">
        <v>1</v>
      </c>
      <c r="J328" t="s">
        <v>33</v>
      </c>
      <c r="K328">
        <v>251</v>
      </c>
      <c r="L328">
        <v>345</v>
      </c>
      <c r="M328">
        <v>29</v>
      </c>
      <c r="N328">
        <v>263</v>
      </c>
      <c r="O328">
        <v>358</v>
      </c>
      <c r="P328">
        <v>29</v>
      </c>
      <c r="Q328">
        <v>247</v>
      </c>
      <c r="R328">
        <v>34</v>
      </c>
      <c r="S328">
        <v>279</v>
      </c>
      <c r="T328" t="s">
        <v>176</v>
      </c>
      <c r="U328" t="s">
        <v>55</v>
      </c>
      <c r="V328" t="s">
        <v>148</v>
      </c>
      <c r="W328" t="s">
        <v>30</v>
      </c>
      <c r="X328" t="s">
        <v>30</v>
      </c>
      <c r="Y328" t="s">
        <v>30</v>
      </c>
    </row>
    <row r="329" spans="1:25" x14ac:dyDescent="0.25">
      <c r="A329" t="s">
        <v>25</v>
      </c>
      <c r="B329" t="s">
        <v>26</v>
      </c>
      <c r="C329">
        <v>2024</v>
      </c>
      <c r="D329" s="1">
        <v>45606</v>
      </c>
      <c r="E329" s="2">
        <v>0</v>
      </c>
      <c r="F329" t="s">
        <v>36</v>
      </c>
      <c r="G329" t="s">
        <v>39</v>
      </c>
      <c r="H329">
        <v>2</v>
      </c>
      <c r="I329">
        <v>1</v>
      </c>
      <c r="J329" t="s">
        <v>33</v>
      </c>
      <c r="K329">
        <v>158</v>
      </c>
      <c r="L329">
        <v>398</v>
      </c>
      <c r="M329">
        <v>657</v>
      </c>
      <c r="N329">
        <v>16</v>
      </c>
      <c r="O329">
        <v>4</v>
      </c>
      <c r="P329">
        <v>686</v>
      </c>
      <c r="Q329">
        <v>156</v>
      </c>
      <c r="R329">
        <v>389</v>
      </c>
      <c r="S329">
        <v>631</v>
      </c>
      <c r="T329" t="s">
        <v>192</v>
      </c>
      <c r="U329" t="s">
        <v>65</v>
      </c>
      <c r="V329" t="s">
        <v>200</v>
      </c>
      <c r="W329" t="s">
        <v>30</v>
      </c>
      <c r="X329" t="s">
        <v>30</v>
      </c>
      <c r="Y329" t="s">
        <v>30</v>
      </c>
    </row>
    <row r="330" spans="1:25" x14ac:dyDescent="0.25">
      <c r="A330" t="s">
        <v>25</v>
      </c>
      <c r="B330" t="s">
        <v>26</v>
      </c>
      <c r="C330">
        <v>2024</v>
      </c>
      <c r="D330" s="1">
        <v>45609</v>
      </c>
      <c r="E330" s="2">
        <v>0.95833333333333326</v>
      </c>
      <c r="F330" t="s">
        <v>42</v>
      </c>
      <c r="G330" t="s">
        <v>44</v>
      </c>
      <c r="H330">
        <v>0</v>
      </c>
      <c r="I330">
        <v>0</v>
      </c>
      <c r="J330" t="s">
        <v>29</v>
      </c>
      <c r="K330">
        <v>206</v>
      </c>
      <c r="L330">
        <v>325</v>
      </c>
      <c r="M330">
        <v>414</v>
      </c>
      <c r="N330">
        <v>209</v>
      </c>
      <c r="O330">
        <v>35</v>
      </c>
      <c r="P330">
        <v>438</v>
      </c>
      <c r="Q330">
        <v>198</v>
      </c>
      <c r="R330">
        <v>329</v>
      </c>
      <c r="S330">
        <v>402</v>
      </c>
      <c r="T330" t="s">
        <v>125</v>
      </c>
      <c r="U330" t="s">
        <v>55</v>
      </c>
      <c r="V330" t="s">
        <v>73</v>
      </c>
      <c r="W330" t="s">
        <v>30</v>
      </c>
      <c r="X330" t="s">
        <v>30</v>
      </c>
      <c r="Y330" t="s">
        <v>30</v>
      </c>
    </row>
    <row r="331" spans="1:25" x14ac:dyDescent="0.25">
      <c r="A331" t="s">
        <v>25</v>
      </c>
      <c r="B331" t="s">
        <v>26</v>
      </c>
      <c r="C331">
        <v>2024</v>
      </c>
      <c r="D331" s="1">
        <v>45612</v>
      </c>
      <c r="E331" s="2">
        <v>0.89583333333333326</v>
      </c>
      <c r="F331" t="s">
        <v>39</v>
      </c>
      <c r="G331" t="s">
        <v>44</v>
      </c>
      <c r="H331">
        <v>1</v>
      </c>
      <c r="I331">
        <v>0</v>
      </c>
      <c r="J331" t="s">
        <v>33</v>
      </c>
      <c r="K331">
        <v>237</v>
      </c>
      <c r="L331">
        <v>321</v>
      </c>
      <c r="M331">
        <v>333</v>
      </c>
      <c r="N331">
        <v>239</v>
      </c>
      <c r="O331">
        <v>33</v>
      </c>
      <c r="P331">
        <v>36</v>
      </c>
      <c r="Q331">
        <v>229</v>
      </c>
      <c r="R331">
        <v>319</v>
      </c>
      <c r="S331">
        <v>326</v>
      </c>
      <c r="T331" t="s">
        <v>119</v>
      </c>
      <c r="U331" t="s">
        <v>52</v>
      </c>
      <c r="V331" t="s">
        <v>58</v>
      </c>
      <c r="W331" t="s">
        <v>30</v>
      </c>
      <c r="X331" t="s">
        <v>30</v>
      </c>
      <c r="Y331" t="s">
        <v>30</v>
      </c>
    </row>
    <row r="332" spans="1:25" x14ac:dyDescent="0.25">
      <c r="A332" t="s">
        <v>25</v>
      </c>
      <c r="B332" t="s">
        <v>26</v>
      </c>
      <c r="C332">
        <v>2024</v>
      </c>
      <c r="D332" s="1">
        <v>45616</v>
      </c>
      <c r="E332" s="2">
        <v>0.58333333333333326</v>
      </c>
      <c r="F332" t="s">
        <v>43</v>
      </c>
      <c r="G332" t="s">
        <v>47</v>
      </c>
      <c r="H332">
        <v>2</v>
      </c>
      <c r="I332">
        <v>1</v>
      </c>
      <c r="J332" t="s">
        <v>33</v>
      </c>
      <c r="K332">
        <v>15</v>
      </c>
      <c r="L332">
        <v>43</v>
      </c>
      <c r="M332">
        <v>717</v>
      </c>
      <c r="N332">
        <v>154</v>
      </c>
      <c r="O332">
        <v>451</v>
      </c>
      <c r="P332">
        <v>756</v>
      </c>
      <c r="Q332">
        <v>147</v>
      </c>
      <c r="R332">
        <v>425</v>
      </c>
      <c r="S332">
        <v>696</v>
      </c>
      <c r="T332" t="s">
        <v>197</v>
      </c>
      <c r="U332" t="s">
        <v>115</v>
      </c>
      <c r="V332" t="s">
        <v>201</v>
      </c>
      <c r="W332" t="s">
        <v>30</v>
      </c>
      <c r="X332" t="s">
        <v>30</v>
      </c>
      <c r="Y332" t="s">
        <v>30</v>
      </c>
    </row>
    <row r="333" spans="1:25" x14ac:dyDescent="0.25">
      <c r="A333" t="s">
        <v>25</v>
      </c>
      <c r="B333" t="s">
        <v>26</v>
      </c>
      <c r="C333">
        <v>2024</v>
      </c>
      <c r="D333" s="1">
        <v>45616</v>
      </c>
      <c r="E333" s="2">
        <v>0.8125</v>
      </c>
      <c r="F333" t="s">
        <v>39</v>
      </c>
      <c r="G333" t="s">
        <v>41</v>
      </c>
      <c r="H333">
        <v>2</v>
      </c>
      <c r="I333">
        <v>0</v>
      </c>
      <c r="J333" t="s">
        <v>33</v>
      </c>
      <c r="K333">
        <v>168</v>
      </c>
      <c r="L333">
        <v>379</v>
      </c>
      <c r="M333">
        <v>561</v>
      </c>
      <c r="N333">
        <v>17</v>
      </c>
      <c r="O333">
        <v>4</v>
      </c>
      <c r="P333">
        <v>61</v>
      </c>
      <c r="Q333">
        <v>164</v>
      </c>
      <c r="R333">
        <v>382</v>
      </c>
      <c r="S333">
        <v>541</v>
      </c>
      <c r="T333" t="s">
        <v>129</v>
      </c>
      <c r="U333" t="s">
        <v>133</v>
      </c>
      <c r="V333" t="s">
        <v>131</v>
      </c>
      <c r="W333" t="s">
        <v>30</v>
      </c>
      <c r="X333" t="s">
        <v>30</v>
      </c>
      <c r="Y333" t="s">
        <v>30</v>
      </c>
    </row>
    <row r="334" spans="1:25" x14ac:dyDescent="0.25">
      <c r="A334" t="s">
        <v>25</v>
      </c>
      <c r="B334" t="s">
        <v>26</v>
      </c>
      <c r="C334">
        <v>2024</v>
      </c>
      <c r="D334" s="1">
        <v>45616</v>
      </c>
      <c r="E334" s="2">
        <v>0.8125</v>
      </c>
      <c r="F334" t="s">
        <v>35</v>
      </c>
      <c r="G334" t="s">
        <v>36</v>
      </c>
      <c r="H334">
        <v>1</v>
      </c>
      <c r="I334">
        <v>1</v>
      </c>
      <c r="J334" t="s">
        <v>29</v>
      </c>
      <c r="K334">
        <v>252</v>
      </c>
      <c r="L334">
        <v>311</v>
      </c>
      <c r="M334">
        <v>319</v>
      </c>
      <c r="N334">
        <v>26</v>
      </c>
      <c r="O334">
        <v>315</v>
      </c>
      <c r="P334">
        <v>32</v>
      </c>
      <c r="Q334">
        <v>248</v>
      </c>
      <c r="R334">
        <v>305</v>
      </c>
      <c r="S334">
        <v>309</v>
      </c>
      <c r="T334" t="s">
        <v>67</v>
      </c>
      <c r="U334" t="s">
        <v>68</v>
      </c>
      <c r="V334" t="s">
        <v>52</v>
      </c>
      <c r="W334" t="s">
        <v>30</v>
      </c>
      <c r="X334" t="s">
        <v>30</v>
      </c>
      <c r="Y334" t="s">
        <v>30</v>
      </c>
    </row>
    <row r="335" spans="1:25" x14ac:dyDescent="0.25">
      <c r="A335" t="s">
        <v>25</v>
      </c>
      <c r="B335" t="s">
        <v>26</v>
      </c>
      <c r="C335">
        <v>2024</v>
      </c>
      <c r="D335" s="1">
        <v>45616</v>
      </c>
      <c r="E335" s="2">
        <v>0.8125</v>
      </c>
      <c r="F335" t="s">
        <v>27</v>
      </c>
      <c r="G335" t="s">
        <v>49</v>
      </c>
      <c r="H335">
        <v>0</v>
      </c>
      <c r="I335">
        <v>1</v>
      </c>
      <c r="J335" t="s">
        <v>38</v>
      </c>
      <c r="K335">
        <v>215</v>
      </c>
      <c r="L335">
        <v>324</v>
      </c>
      <c r="M335">
        <v>386</v>
      </c>
      <c r="N335">
        <v>223</v>
      </c>
      <c r="O335">
        <v>338</v>
      </c>
      <c r="P335">
        <v>393</v>
      </c>
      <c r="Q335">
        <v>213</v>
      </c>
      <c r="R335">
        <v>322</v>
      </c>
      <c r="S335">
        <v>364</v>
      </c>
      <c r="T335" t="s">
        <v>128</v>
      </c>
      <c r="U335" t="s">
        <v>52</v>
      </c>
      <c r="V335" t="s">
        <v>133</v>
      </c>
      <c r="W335" t="s">
        <v>30</v>
      </c>
      <c r="X335" t="s">
        <v>30</v>
      </c>
      <c r="Y335" t="s">
        <v>30</v>
      </c>
    </row>
    <row r="336" spans="1:25" x14ac:dyDescent="0.25">
      <c r="A336" t="s">
        <v>25</v>
      </c>
      <c r="B336" t="s">
        <v>26</v>
      </c>
      <c r="C336">
        <v>2024</v>
      </c>
      <c r="D336" s="1">
        <v>45616</v>
      </c>
      <c r="E336" s="2">
        <v>0.875</v>
      </c>
      <c r="F336" t="s">
        <v>32</v>
      </c>
      <c r="G336" t="s">
        <v>50</v>
      </c>
      <c r="H336">
        <v>1</v>
      </c>
      <c r="I336">
        <v>2</v>
      </c>
      <c r="J336" t="s">
        <v>38</v>
      </c>
      <c r="K336">
        <v>334</v>
      </c>
      <c r="L336">
        <v>367</v>
      </c>
      <c r="M336">
        <v>216</v>
      </c>
      <c r="N336">
        <v>341</v>
      </c>
      <c r="O336">
        <v>368</v>
      </c>
      <c r="P336">
        <v>221</v>
      </c>
      <c r="Q336">
        <v>323</v>
      </c>
      <c r="R336">
        <v>359</v>
      </c>
      <c r="S336">
        <v>214</v>
      </c>
      <c r="T336" t="s">
        <v>97</v>
      </c>
      <c r="U336" t="s">
        <v>104</v>
      </c>
      <c r="V336" t="s">
        <v>106</v>
      </c>
      <c r="W336" t="s">
        <v>30</v>
      </c>
      <c r="X336" t="s">
        <v>30</v>
      </c>
      <c r="Y336" t="s">
        <v>30</v>
      </c>
    </row>
    <row r="337" spans="1:25" x14ac:dyDescent="0.25">
      <c r="A337" t="s">
        <v>25</v>
      </c>
      <c r="B337" t="s">
        <v>26</v>
      </c>
      <c r="C337">
        <v>2024</v>
      </c>
      <c r="D337" s="1">
        <v>45616</v>
      </c>
      <c r="E337" s="2">
        <v>0.91666666666666663</v>
      </c>
      <c r="F337" t="s">
        <v>40</v>
      </c>
      <c r="G337" t="s">
        <v>42</v>
      </c>
      <c r="H337">
        <v>1</v>
      </c>
      <c r="I337">
        <v>2</v>
      </c>
      <c r="J337" t="s">
        <v>38</v>
      </c>
      <c r="K337">
        <v>449</v>
      </c>
      <c r="L337">
        <v>34</v>
      </c>
      <c r="M337">
        <v>193</v>
      </c>
      <c r="N337">
        <v>468</v>
      </c>
      <c r="O337">
        <v>342</v>
      </c>
      <c r="P337">
        <v>201</v>
      </c>
      <c r="Q337">
        <v>421</v>
      </c>
      <c r="R337">
        <v>33</v>
      </c>
      <c r="S337">
        <v>194</v>
      </c>
      <c r="T337" t="s">
        <v>141</v>
      </c>
      <c r="U337" t="s">
        <v>97</v>
      </c>
      <c r="V337" t="s">
        <v>189</v>
      </c>
      <c r="W337" t="s">
        <v>30</v>
      </c>
      <c r="X337" t="s">
        <v>30</v>
      </c>
      <c r="Y337" t="s">
        <v>30</v>
      </c>
    </row>
    <row r="338" spans="1:25" x14ac:dyDescent="0.25">
      <c r="A338" t="s">
        <v>25</v>
      </c>
      <c r="B338" t="s">
        <v>26</v>
      </c>
      <c r="C338">
        <v>2024</v>
      </c>
      <c r="D338" s="1">
        <v>45616</v>
      </c>
      <c r="E338" s="2">
        <v>0.91666666666666663</v>
      </c>
      <c r="F338" t="s">
        <v>46</v>
      </c>
      <c r="G338" t="s">
        <v>28</v>
      </c>
      <c r="H338">
        <v>2</v>
      </c>
      <c r="I338">
        <v>2</v>
      </c>
      <c r="J338" t="s">
        <v>29</v>
      </c>
      <c r="K338">
        <v>182</v>
      </c>
      <c r="L338">
        <v>368</v>
      </c>
      <c r="M338">
        <v>465</v>
      </c>
      <c r="N338">
        <v>186</v>
      </c>
      <c r="O338">
        <v>385</v>
      </c>
      <c r="P338">
        <v>5</v>
      </c>
      <c r="Q338">
        <v>181</v>
      </c>
      <c r="R338">
        <v>36</v>
      </c>
      <c r="S338">
        <v>446</v>
      </c>
      <c r="T338" t="s">
        <v>153</v>
      </c>
      <c r="U338" t="s">
        <v>104</v>
      </c>
      <c r="V338" t="s">
        <v>90</v>
      </c>
      <c r="W338" t="s">
        <v>30</v>
      </c>
      <c r="X338" t="s">
        <v>30</v>
      </c>
      <c r="Y338" t="s">
        <v>30</v>
      </c>
    </row>
    <row r="339" spans="1:25" x14ac:dyDescent="0.25">
      <c r="A339" t="s">
        <v>25</v>
      </c>
      <c r="B339" t="s">
        <v>26</v>
      </c>
      <c r="C339">
        <v>2024</v>
      </c>
      <c r="D339" s="1">
        <v>45617</v>
      </c>
      <c r="E339" s="2">
        <v>2.0833333333333332E-2</v>
      </c>
      <c r="F339" t="s">
        <v>44</v>
      </c>
      <c r="G339" t="s">
        <v>48</v>
      </c>
      <c r="H339">
        <v>0</v>
      </c>
      <c r="I339">
        <v>0</v>
      </c>
      <c r="J339" t="s">
        <v>29</v>
      </c>
      <c r="K339">
        <v>421</v>
      </c>
      <c r="L339">
        <v>314</v>
      </c>
      <c r="M339">
        <v>209</v>
      </c>
      <c r="N339">
        <v>421</v>
      </c>
      <c r="O339">
        <v>335</v>
      </c>
      <c r="P339">
        <v>209</v>
      </c>
      <c r="Q339">
        <v>399</v>
      </c>
      <c r="R339">
        <v>318</v>
      </c>
      <c r="S339">
        <v>203</v>
      </c>
      <c r="T339" t="s">
        <v>73</v>
      </c>
      <c r="U339" t="s">
        <v>57</v>
      </c>
      <c r="V339" t="s">
        <v>202</v>
      </c>
      <c r="W339" t="s">
        <v>30</v>
      </c>
      <c r="X339" t="s">
        <v>30</v>
      </c>
      <c r="Y339" t="s">
        <v>30</v>
      </c>
    </row>
    <row r="340" spans="1:25" x14ac:dyDescent="0.25">
      <c r="A340" t="s">
        <v>25</v>
      </c>
      <c r="B340" t="s">
        <v>26</v>
      </c>
      <c r="C340">
        <v>2024</v>
      </c>
      <c r="D340" s="1">
        <v>45617</v>
      </c>
      <c r="E340" s="2">
        <v>0.95833333333333326</v>
      </c>
      <c r="F340" t="s">
        <v>45</v>
      </c>
      <c r="G340" t="s">
        <v>31</v>
      </c>
      <c r="H340">
        <v>0</v>
      </c>
      <c r="I340">
        <v>1</v>
      </c>
      <c r="J340" t="s">
        <v>38</v>
      </c>
      <c r="K340">
        <v>374</v>
      </c>
      <c r="L340">
        <v>332</v>
      </c>
      <c r="M340">
        <v>215</v>
      </c>
      <c r="N340">
        <v>378</v>
      </c>
      <c r="O340">
        <v>345</v>
      </c>
      <c r="P340">
        <v>216</v>
      </c>
      <c r="Q340">
        <v>361</v>
      </c>
      <c r="R340">
        <v>326</v>
      </c>
      <c r="S340">
        <v>211</v>
      </c>
      <c r="T340" t="s">
        <v>77</v>
      </c>
      <c r="U340" t="s">
        <v>56</v>
      </c>
      <c r="V340" t="s">
        <v>106</v>
      </c>
      <c r="W340" t="s">
        <v>30</v>
      </c>
      <c r="X340" t="s">
        <v>30</v>
      </c>
      <c r="Y340" t="s">
        <v>30</v>
      </c>
    </row>
    <row r="341" spans="1:25" x14ac:dyDescent="0.25">
      <c r="A341" t="s">
        <v>25</v>
      </c>
      <c r="B341" t="s">
        <v>26</v>
      </c>
      <c r="C341">
        <v>2024</v>
      </c>
      <c r="D341" s="1">
        <v>45619</v>
      </c>
      <c r="E341" s="2">
        <v>2.0833333333333332E-2</v>
      </c>
      <c r="F341" t="s">
        <v>34</v>
      </c>
      <c r="G341" t="s">
        <v>37</v>
      </c>
      <c r="H341">
        <v>2</v>
      </c>
      <c r="I341">
        <v>2</v>
      </c>
      <c r="J341" t="s">
        <v>29</v>
      </c>
      <c r="K341">
        <v>204</v>
      </c>
      <c r="L341">
        <v>324</v>
      </c>
      <c r="M341">
        <v>416</v>
      </c>
      <c r="N341">
        <v>215</v>
      </c>
      <c r="O341">
        <v>335</v>
      </c>
      <c r="P341">
        <v>416</v>
      </c>
      <c r="Q341">
        <v>206</v>
      </c>
      <c r="R341">
        <v>318</v>
      </c>
      <c r="S341">
        <v>39</v>
      </c>
      <c r="T341" t="s">
        <v>161</v>
      </c>
      <c r="U341" t="s">
        <v>80</v>
      </c>
      <c r="V341" t="s">
        <v>143</v>
      </c>
      <c r="W341" t="s">
        <v>30</v>
      </c>
      <c r="X341" t="s">
        <v>30</v>
      </c>
      <c r="Y341" t="s">
        <v>30</v>
      </c>
    </row>
    <row r="342" spans="1:25" x14ac:dyDescent="0.25">
      <c r="A342" t="s">
        <v>25</v>
      </c>
      <c r="B342" t="s">
        <v>26</v>
      </c>
      <c r="C342">
        <v>2024</v>
      </c>
      <c r="D342" s="1">
        <v>45619</v>
      </c>
      <c r="E342" s="2">
        <v>0.9375</v>
      </c>
      <c r="F342" t="s">
        <v>41</v>
      </c>
      <c r="G342" t="s">
        <v>50</v>
      </c>
      <c r="H342">
        <v>0</v>
      </c>
      <c r="I342">
        <v>1</v>
      </c>
      <c r="J342" t="s">
        <v>38</v>
      </c>
      <c r="K342">
        <v>813</v>
      </c>
      <c r="L342">
        <v>533</v>
      </c>
      <c r="M342">
        <v>137</v>
      </c>
      <c r="N342">
        <v>95</v>
      </c>
      <c r="O342">
        <v>544</v>
      </c>
      <c r="P342">
        <v>14</v>
      </c>
      <c r="Q342">
        <v>819</v>
      </c>
      <c r="R342">
        <v>509</v>
      </c>
      <c r="S342">
        <v>135</v>
      </c>
      <c r="T342" t="s">
        <v>169</v>
      </c>
      <c r="U342" t="s">
        <v>150</v>
      </c>
      <c r="V342" t="s">
        <v>203</v>
      </c>
      <c r="W342" t="s">
        <v>30</v>
      </c>
      <c r="X342" t="s">
        <v>30</v>
      </c>
      <c r="Y342" t="s">
        <v>30</v>
      </c>
    </row>
    <row r="343" spans="1:25" x14ac:dyDescent="0.25">
      <c r="A343" t="s">
        <v>25</v>
      </c>
      <c r="B343" t="s">
        <v>26</v>
      </c>
      <c r="C343">
        <v>2024</v>
      </c>
      <c r="D343" s="1">
        <v>45619</v>
      </c>
      <c r="E343" s="2">
        <v>0.9375</v>
      </c>
      <c r="F343" t="s">
        <v>48</v>
      </c>
      <c r="G343" t="s">
        <v>49</v>
      </c>
      <c r="H343">
        <v>1</v>
      </c>
      <c r="I343">
        <v>1</v>
      </c>
      <c r="J343" t="s">
        <v>29</v>
      </c>
      <c r="K343">
        <v>137</v>
      </c>
      <c r="L343">
        <v>494</v>
      </c>
      <c r="M343">
        <v>921</v>
      </c>
      <c r="N343">
        <v>141</v>
      </c>
      <c r="O343">
        <v>525</v>
      </c>
      <c r="P343">
        <v>11</v>
      </c>
      <c r="Q343">
        <v>136</v>
      </c>
      <c r="R343">
        <v>484</v>
      </c>
      <c r="S343">
        <v>874</v>
      </c>
      <c r="T343" t="s">
        <v>203</v>
      </c>
      <c r="U343" t="s">
        <v>60</v>
      </c>
      <c r="V343" t="s">
        <v>188</v>
      </c>
      <c r="W343" t="s">
        <v>30</v>
      </c>
      <c r="X343" t="s">
        <v>30</v>
      </c>
      <c r="Y343" t="s">
        <v>30</v>
      </c>
    </row>
    <row r="344" spans="1:25" x14ac:dyDescent="0.25">
      <c r="A344" t="s">
        <v>25</v>
      </c>
      <c r="B344" t="s">
        <v>26</v>
      </c>
      <c r="C344">
        <v>2024</v>
      </c>
      <c r="D344" s="1">
        <v>45619</v>
      </c>
      <c r="E344" s="2">
        <v>0.9375</v>
      </c>
      <c r="F344" t="s">
        <v>28</v>
      </c>
      <c r="G344" t="s">
        <v>40</v>
      </c>
      <c r="H344">
        <v>1</v>
      </c>
      <c r="I344">
        <v>1</v>
      </c>
      <c r="J344" t="s">
        <v>29</v>
      </c>
      <c r="K344">
        <v>162</v>
      </c>
      <c r="L344">
        <v>385</v>
      </c>
      <c r="M344">
        <v>626</v>
      </c>
      <c r="N344">
        <v>2</v>
      </c>
      <c r="O344">
        <v>39</v>
      </c>
      <c r="P344">
        <v>626</v>
      </c>
      <c r="Q344">
        <v>162</v>
      </c>
      <c r="R344">
        <v>372</v>
      </c>
      <c r="S344">
        <v>593</v>
      </c>
      <c r="T344" t="s">
        <v>164</v>
      </c>
      <c r="U344" t="s">
        <v>133</v>
      </c>
      <c r="V344" t="s">
        <v>159</v>
      </c>
      <c r="W344" t="s">
        <v>30</v>
      </c>
      <c r="X344" t="s">
        <v>30</v>
      </c>
      <c r="Y344" t="s">
        <v>30</v>
      </c>
    </row>
    <row r="345" spans="1:25" x14ac:dyDescent="0.25">
      <c r="A345" t="s">
        <v>25</v>
      </c>
      <c r="B345" t="s">
        <v>26</v>
      </c>
      <c r="C345">
        <v>2024</v>
      </c>
      <c r="D345" s="1">
        <v>45620</v>
      </c>
      <c r="E345" s="2">
        <v>2.0833333333333332E-2</v>
      </c>
      <c r="F345" t="s">
        <v>36</v>
      </c>
      <c r="G345" t="s">
        <v>44</v>
      </c>
      <c r="H345">
        <v>2</v>
      </c>
      <c r="I345">
        <v>2</v>
      </c>
      <c r="J345" t="s">
        <v>29</v>
      </c>
      <c r="K345">
        <v>201</v>
      </c>
      <c r="L345">
        <v>32</v>
      </c>
      <c r="M345">
        <v>446</v>
      </c>
      <c r="N345">
        <v>204</v>
      </c>
      <c r="O345">
        <v>37</v>
      </c>
      <c r="P345">
        <v>48</v>
      </c>
      <c r="Q345">
        <v>197</v>
      </c>
      <c r="R345">
        <v>312</v>
      </c>
      <c r="S345">
        <v>434</v>
      </c>
      <c r="T345" t="s">
        <v>102</v>
      </c>
      <c r="U345" t="s">
        <v>57</v>
      </c>
      <c r="V345" t="s">
        <v>117</v>
      </c>
      <c r="W345" t="s">
        <v>30</v>
      </c>
      <c r="X345" t="s">
        <v>30</v>
      </c>
      <c r="Y345" t="s">
        <v>30</v>
      </c>
    </row>
    <row r="346" spans="1:25" x14ac:dyDescent="0.25">
      <c r="A346" t="s">
        <v>25</v>
      </c>
      <c r="B346" t="s">
        <v>26</v>
      </c>
      <c r="C346">
        <v>2024</v>
      </c>
      <c r="D346" s="1">
        <v>45620</v>
      </c>
      <c r="E346" s="2">
        <v>0.79166666666666663</v>
      </c>
      <c r="F346" t="s">
        <v>32</v>
      </c>
      <c r="G346" t="s">
        <v>39</v>
      </c>
      <c r="H346">
        <v>1</v>
      </c>
      <c r="I346">
        <v>1</v>
      </c>
      <c r="J346" t="s">
        <v>29</v>
      </c>
      <c r="K346">
        <v>172</v>
      </c>
      <c r="L346">
        <v>407</v>
      </c>
      <c r="M346">
        <v>479</v>
      </c>
      <c r="N346">
        <v>182</v>
      </c>
      <c r="O346">
        <v>41</v>
      </c>
      <c r="P346">
        <v>5</v>
      </c>
      <c r="Q346">
        <v>17</v>
      </c>
      <c r="R346">
        <v>394</v>
      </c>
      <c r="S346">
        <v>464</v>
      </c>
      <c r="T346" t="s">
        <v>139</v>
      </c>
      <c r="U346" t="s">
        <v>83</v>
      </c>
      <c r="V346" t="s">
        <v>150</v>
      </c>
      <c r="W346" t="s">
        <v>30</v>
      </c>
      <c r="X346" t="s">
        <v>30</v>
      </c>
      <c r="Y346" t="s">
        <v>30</v>
      </c>
    </row>
    <row r="347" spans="1:25" x14ac:dyDescent="0.25">
      <c r="A347" t="s">
        <v>25</v>
      </c>
      <c r="B347" t="s">
        <v>26</v>
      </c>
      <c r="C347">
        <v>2024</v>
      </c>
      <c r="D347" s="1">
        <v>45620</v>
      </c>
      <c r="E347" s="2">
        <v>0.79166666666666663</v>
      </c>
      <c r="F347" t="s">
        <v>43</v>
      </c>
      <c r="G347" t="s">
        <v>45</v>
      </c>
      <c r="H347">
        <v>3</v>
      </c>
      <c r="I347">
        <v>1</v>
      </c>
      <c r="J347" t="s">
        <v>33</v>
      </c>
      <c r="K347">
        <v>161</v>
      </c>
      <c r="L347">
        <v>396</v>
      </c>
      <c r="M347">
        <v>616</v>
      </c>
      <c r="N347">
        <v>163</v>
      </c>
      <c r="O347">
        <v>42</v>
      </c>
      <c r="P347">
        <v>64</v>
      </c>
      <c r="Q347">
        <v>159</v>
      </c>
      <c r="R347">
        <v>391</v>
      </c>
      <c r="S347">
        <v>582</v>
      </c>
      <c r="T347" t="s">
        <v>192</v>
      </c>
      <c r="U347" t="s">
        <v>83</v>
      </c>
      <c r="V347" t="s">
        <v>200</v>
      </c>
      <c r="W347" t="s">
        <v>30</v>
      </c>
      <c r="X347" t="s">
        <v>30</v>
      </c>
      <c r="Y347" t="s">
        <v>30</v>
      </c>
    </row>
    <row r="348" spans="1:25" x14ac:dyDescent="0.25">
      <c r="A348" t="s">
        <v>25</v>
      </c>
      <c r="B348" t="s">
        <v>26</v>
      </c>
      <c r="C348">
        <v>2024</v>
      </c>
      <c r="D348" s="1">
        <v>45620</v>
      </c>
      <c r="E348" s="2">
        <v>0.79166666666666663</v>
      </c>
      <c r="F348" t="s">
        <v>31</v>
      </c>
      <c r="G348" t="s">
        <v>35</v>
      </c>
      <c r="H348">
        <v>4</v>
      </c>
      <c r="I348">
        <v>1</v>
      </c>
      <c r="J348" t="s">
        <v>33</v>
      </c>
      <c r="K348">
        <v>158</v>
      </c>
      <c r="L348">
        <v>426</v>
      </c>
      <c r="M348">
        <v>591</v>
      </c>
      <c r="N348">
        <v>161</v>
      </c>
      <c r="O348">
        <v>44</v>
      </c>
      <c r="P348">
        <v>7</v>
      </c>
      <c r="Q348">
        <v>156</v>
      </c>
      <c r="R348">
        <v>414</v>
      </c>
      <c r="S348">
        <v>569</v>
      </c>
      <c r="T348" t="s">
        <v>192</v>
      </c>
      <c r="U348" t="s">
        <v>73</v>
      </c>
      <c r="V348" t="s">
        <v>88</v>
      </c>
      <c r="W348" t="s">
        <v>30</v>
      </c>
      <c r="X348" t="s">
        <v>30</v>
      </c>
      <c r="Y348" t="s">
        <v>30</v>
      </c>
    </row>
    <row r="349" spans="1:25" x14ac:dyDescent="0.25">
      <c r="A349" t="s">
        <v>25</v>
      </c>
      <c r="B349" t="s">
        <v>26</v>
      </c>
      <c r="C349">
        <v>2024</v>
      </c>
      <c r="D349" s="1">
        <v>45622</v>
      </c>
      <c r="E349" s="2">
        <v>0.91666666666666663</v>
      </c>
      <c r="F349" t="s">
        <v>34</v>
      </c>
      <c r="G349" t="s">
        <v>27</v>
      </c>
      <c r="H349">
        <v>0</v>
      </c>
      <c r="I349">
        <v>0</v>
      </c>
      <c r="J349" t="s">
        <v>29</v>
      </c>
      <c r="K349">
        <v>167</v>
      </c>
      <c r="L349">
        <v>369</v>
      </c>
      <c r="M349">
        <v>594</v>
      </c>
      <c r="N349">
        <v>167</v>
      </c>
      <c r="O349">
        <v>376</v>
      </c>
      <c r="P349">
        <v>661</v>
      </c>
      <c r="Q349">
        <v>163</v>
      </c>
      <c r="R349">
        <v>366</v>
      </c>
      <c r="S349">
        <v>579</v>
      </c>
      <c r="T349" t="s">
        <v>204</v>
      </c>
      <c r="U349" t="s">
        <v>77</v>
      </c>
      <c r="V349" t="s">
        <v>66</v>
      </c>
      <c r="W349" t="s">
        <v>30</v>
      </c>
      <c r="X349" t="s">
        <v>30</v>
      </c>
      <c r="Y349" t="s">
        <v>30</v>
      </c>
    </row>
    <row r="350" spans="1:25" x14ac:dyDescent="0.25">
      <c r="A350" t="s">
        <v>25</v>
      </c>
      <c r="B350" t="s">
        <v>26</v>
      </c>
      <c r="C350">
        <v>2024</v>
      </c>
      <c r="D350" s="1">
        <v>45622</v>
      </c>
      <c r="E350" s="2">
        <v>0.95833333333333326</v>
      </c>
      <c r="F350" t="s">
        <v>37</v>
      </c>
      <c r="G350" t="s">
        <v>42</v>
      </c>
      <c r="H350">
        <v>0</v>
      </c>
      <c r="I350">
        <v>0</v>
      </c>
      <c r="J350" t="s">
        <v>29</v>
      </c>
      <c r="K350">
        <v>321</v>
      </c>
      <c r="L350">
        <v>326</v>
      </c>
      <c r="M350">
        <v>241</v>
      </c>
      <c r="N350">
        <v>326</v>
      </c>
      <c r="O350">
        <v>326</v>
      </c>
      <c r="P350">
        <v>242</v>
      </c>
      <c r="Q350">
        <v>311</v>
      </c>
      <c r="R350">
        <v>32</v>
      </c>
      <c r="S350">
        <v>236</v>
      </c>
      <c r="T350" t="s">
        <v>52</v>
      </c>
      <c r="U350" t="s">
        <v>56</v>
      </c>
      <c r="V350" t="s">
        <v>151</v>
      </c>
      <c r="W350" t="s">
        <v>30</v>
      </c>
      <c r="X350" t="s">
        <v>30</v>
      </c>
      <c r="Y350" t="s">
        <v>30</v>
      </c>
    </row>
    <row r="351" spans="1:25" x14ac:dyDescent="0.25">
      <c r="A351" t="s">
        <v>25</v>
      </c>
      <c r="B351" t="s">
        <v>26</v>
      </c>
      <c r="C351">
        <v>2024</v>
      </c>
      <c r="D351" s="1">
        <v>45623</v>
      </c>
      <c r="E351" s="2">
        <v>2.0833333333333332E-2</v>
      </c>
      <c r="F351" t="s">
        <v>44</v>
      </c>
      <c r="G351" t="s">
        <v>28</v>
      </c>
      <c r="H351">
        <v>2</v>
      </c>
      <c r="I351">
        <v>3</v>
      </c>
      <c r="J351" t="s">
        <v>38</v>
      </c>
      <c r="K351">
        <v>26</v>
      </c>
      <c r="L351">
        <v>301</v>
      </c>
      <c r="M351">
        <v>321</v>
      </c>
      <c r="N351">
        <v>275</v>
      </c>
      <c r="O351">
        <v>314</v>
      </c>
      <c r="P351">
        <v>321</v>
      </c>
      <c r="Q351">
        <v>255</v>
      </c>
      <c r="R351">
        <v>299</v>
      </c>
      <c r="S351">
        <v>303</v>
      </c>
      <c r="T351" t="s">
        <v>165</v>
      </c>
      <c r="U351" t="s">
        <v>69</v>
      </c>
      <c r="V351" t="s">
        <v>52</v>
      </c>
      <c r="W351" t="s">
        <v>30</v>
      </c>
      <c r="X351" t="s">
        <v>30</v>
      </c>
      <c r="Y351" t="s">
        <v>30</v>
      </c>
    </row>
    <row r="352" spans="1:25" x14ac:dyDescent="0.25">
      <c r="A352" t="s">
        <v>25</v>
      </c>
      <c r="B352" t="s">
        <v>26</v>
      </c>
      <c r="C352">
        <v>2024</v>
      </c>
      <c r="D352" s="1">
        <v>45623</v>
      </c>
      <c r="E352" s="2">
        <v>2.0833333333333332E-2</v>
      </c>
      <c r="F352" t="s">
        <v>50</v>
      </c>
      <c r="G352" t="s">
        <v>48</v>
      </c>
      <c r="H352">
        <v>1</v>
      </c>
      <c r="I352">
        <v>3</v>
      </c>
      <c r="J352" t="s">
        <v>38</v>
      </c>
      <c r="K352">
        <v>208</v>
      </c>
      <c r="L352">
        <v>33</v>
      </c>
      <c r="M352">
        <v>399</v>
      </c>
      <c r="N352">
        <v>211</v>
      </c>
      <c r="O352">
        <v>34</v>
      </c>
      <c r="P352">
        <v>433</v>
      </c>
      <c r="Q352">
        <v>205</v>
      </c>
      <c r="R352">
        <v>324</v>
      </c>
      <c r="S352">
        <v>39</v>
      </c>
      <c r="T352" t="s">
        <v>125</v>
      </c>
      <c r="U352" t="s">
        <v>56</v>
      </c>
      <c r="V352" t="s">
        <v>73</v>
      </c>
      <c r="W352" t="s">
        <v>30</v>
      </c>
      <c r="X352" t="s">
        <v>30</v>
      </c>
      <c r="Y352" t="s">
        <v>30</v>
      </c>
    </row>
    <row r="353" spans="1:25" x14ac:dyDescent="0.25">
      <c r="A353" t="s">
        <v>25</v>
      </c>
      <c r="B353" t="s">
        <v>26</v>
      </c>
      <c r="C353">
        <v>2024</v>
      </c>
      <c r="D353" s="1">
        <v>45624</v>
      </c>
      <c r="E353" s="2">
        <v>0</v>
      </c>
      <c r="F353" t="s">
        <v>47</v>
      </c>
      <c r="G353" t="s">
        <v>46</v>
      </c>
      <c r="H353">
        <v>1</v>
      </c>
      <c r="I353">
        <v>1</v>
      </c>
      <c r="J353" t="s">
        <v>29</v>
      </c>
      <c r="K353">
        <v>2</v>
      </c>
      <c r="L353">
        <v>337</v>
      </c>
      <c r="M353">
        <v>42</v>
      </c>
      <c r="N353">
        <v>208</v>
      </c>
      <c r="O353">
        <v>34</v>
      </c>
      <c r="P353">
        <v>42</v>
      </c>
      <c r="Q353">
        <v>199</v>
      </c>
      <c r="R353">
        <v>331</v>
      </c>
      <c r="S353">
        <v>395</v>
      </c>
      <c r="T353" t="s">
        <v>125</v>
      </c>
      <c r="U353" t="s">
        <v>97</v>
      </c>
      <c r="V353" t="s">
        <v>63</v>
      </c>
      <c r="W353" t="s">
        <v>30</v>
      </c>
      <c r="X353" t="s">
        <v>30</v>
      </c>
      <c r="Y353" t="s">
        <v>30</v>
      </c>
    </row>
    <row r="354" spans="1:25" x14ac:dyDescent="0.25">
      <c r="A354" t="s">
        <v>25</v>
      </c>
      <c r="B354" t="s">
        <v>26</v>
      </c>
      <c r="C354">
        <v>2024</v>
      </c>
      <c r="D354" s="1">
        <v>45626</v>
      </c>
      <c r="E354" s="2">
        <v>0.9375</v>
      </c>
      <c r="F354" t="s">
        <v>27</v>
      </c>
      <c r="G354" t="s">
        <v>43</v>
      </c>
      <c r="H354">
        <v>2</v>
      </c>
      <c r="I354">
        <v>4</v>
      </c>
      <c r="J354" t="s">
        <v>38</v>
      </c>
      <c r="K354">
        <v>355</v>
      </c>
      <c r="L354">
        <v>333</v>
      </c>
      <c r="M354">
        <v>221</v>
      </c>
      <c r="N354">
        <v>358</v>
      </c>
      <c r="O354">
        <v>34</v>
      </c>
      <c r="P354">
        <v>224</v>
      </c>
      <c r="Q354">
        <v>34</v>
      </c>
      <c r="R354">
        <v>327</v>
      </c>
      <c r="S354">
        <v>219</v>
      </c>
      <c r="T354" t="s">
        <v>74</v>
      </c>
      <c r="U354" t="s">
        <v>56</v>
      </c>
      <c r="V354" t="s">
        <v>156</v>
      </c>
      <c r="W354" t="s">
        <v>30</v>
      </c>
      <c r="X354" t="s">
        <v>30</v>
      </c>
      <c r="Y354" t="s">
        <v>30</v>
      </c>
    </row>
    <row r="355" spans="1:25" x14ac:dyDescent="0.25">
      <c r="A355" t="s">
        <v>25</v>
      </c>
      <c r="B355" t="s">
        <v>26</v>
      </c>
      <c r="C355">
        <v>2024</v>
      </c>
      <c r="D355" s="1">
        <v>45626</v>
      </c>
      <c r="E355" s="2">
        <v>0.9375</v>
      </c>
      <c r="F355" t="s">
        <v>40</v>
      </c>
      <c r="G355" t="s">
        <v>32</v>
      </c>
      <c r="H355">
        <v>1</v>
      </c>
      <c r="I355">
        <v>2</v>
      </c>
      <c r="J355" t="s">
        <v>38</v>
      </c>
      <c r="K355">
        <v>437</v>
      </c>
      <c r="L355">
        <v>352</v>
      </c>
      <c r="M355">
        <v>192</v>
      </c>
      <c r="N355">
        <v>437</v>
      </c>
      <c r="O355">
        <v>353</v>
      </c>
      <c r="P355">
        <v>196</v>
      </c>
      <c r="Q355">
        <v>421</v>
      </c>
      <c r="R355">
        <v>342</v>
      </c>
      <c r="S355">
        <v>19</v>
      </c>
      <c r="T355" t="s">
        <v>117</v>
      </c>
      <c r="U355" t="s">
        <v>81</v>
      </c>
      <c r="V355" t="s">
        <v>205</v>
      </c>
      <c r="W355" t="s">
        <v>30</v>
      </c>
      <c r="X355" t="s">
        <v>30</v>
      </c>
      <c r="Y355" t="s">
        <v>30</v>
      </c>
    </row>
    <row r="356" spans="1:25" x14ac:dyDescent="0.25">
      <c r="A356" t="s">
        <v>25</v>
      </c>
      <c r="B356" t="s">
        <v>26</v>
      </c>
      <c r="C356">
        <v>2024</v>
      </c>
      <c r="D356" s="1">
        <v>45627</v>
      </c>
      <c r="E356" s="2">
        <v>2.0833333333333332E-2</v>
      </c>
      <c r="F356" t="s">
        <v>45</v>
      </c>
      <c r="G356" t="s">
        <v>41</v>
      </c>
      <c r="H356">
        <v>2</v>
      </c>
      <c r="I356">
        <v>2</v>
      </c>
      <c r="J356" t="s">
        <v>29</v>
      </c>
      <c r="K356">
        <v>194</v>
      </c>
      <c r="L356">
        <v>346</v>
      </c>
      <c r="M356">
        <v>43</v>
      </c>
      <c r="N356">
        <v>199</v>
      </c>
      <c r="O356">
        <v>376</v>
      </c>
      <c r="P356">
        <v>535</v>
      </c>
      <c r="Q356">
        <v>19</v>
      </c>
      <c r="R356">
        <v>34</v>
      </c>
      <c r="S356">
        <v>423</v>
      </c>
      <c r="T356" t="s">
        <v>163</v>
      </c>
      <c r="U356" t="s">
        <v>97</v>
      </c>
      <c r="V356" t="s">
        <v>143</v>
      </c>
      <c r="W356" t="s">
        <v>30</v>
      </c>
      <c r="X356" t="s">
        <v>30</v>
      </c>
      <c r="Y356" t="s">
        <v>30</v>
      </c>
    </row>
    <row r="357" spans="1:25" x14ac:dyDescent="0.25">
      <c r="A357" t="s">
        <v>25</v>
      </c>
      <c r="B357" t="s">
        <v>26</v>
      </c>
      <c r="C357">
        <v>2024</v>
      </c>
      <c r="D357" s="1">
        <v>45627</v>
      </c>
      <c r="E357" s="2">
        <v>0.79166666666666663</v>
      </c>
      <c r="F357" t="s">
        <v>42</v>
      </c>
      <c r="G357" t="s">
        <v>31</v>
      </c>
      <c r="H357">
        <v>3</v>
      </c>
      <c r="I357">
        <v>2</v>
      </c>
      <c r="J357" t="s">
        <v>33</v>
      </c>
      <c r="K357">
        <v>188</v>
      </c>
      <c r="L357">
        <v>35</v>
      </c>
      <c r="M357">
        <v>457</v>
      </c>
      <c r="N357">
        <v>204</v>
      </c>
      <c r="O357">
        <v>35</v>
      </c>
      <c r="P357">
        <v>457</v>
      </c>
      <c r="Q357">
        <v>191</v>
      </c>
      <c r="R357">
        <v>339</v>
      </c>
      <c r="S357">
        <v>421</v>
      </c>
      <c r="T357" t="s">
        <v>92</v>
      </c>
      <c r="U357" t="s">
        <v>81</v>
      </c>
      <c r="V357" t="s">
        <v>115</v>
      </c>
      <c r="W357" t="s">
        <v>30</v>
      </c>
      <c r="X357" t="s">
        <v>30</v>
      </c>
      <c r="Y357" t="s">
        <v>30</v>
      </c>
    </row>
    <row r="358" spans="1:25" x14ac:dyDescent="0.25">
      <c r="A358" t="s">
        <v>25</v>
      </c>
      <c r="B358" t="s">
        <v>26</v>
      </c>
      <c r="C358">
        <v>2024</v>
      </c>
      <c r="D358" s="1">
        <v>45627</v>
      </c>
      <c r="E358" s="2">
        <v>0.79166666666666663</v>
      </c>
      <c r="F358" t="s">
        <v>46</v>
      </c>
      <c r="G358" t="s">
        <v>36</v>
      </c>
      <c r="H358">
        <v>2</v>
      </c>
      <c r="I358">
        <v>1</v>
      </c>
      <c r="J358" t="s">
        <v>33</v>
      </c>
      <c r="K358">
        <v>238</v>
      </c>
      <c r="L358">
        <v>325</v>
      </c>
      <c r="M358">
        <v>328</v>
      </c>
      <c r="N358">
        <v>242</v>
      </c>
      <c r="O358">
        <v>325</v>
      </c>
      <c r="P358">
        <v>335</v>
      </c>
      <c r="Q358">
        <v>233</v>
      </c>
      <c r="R358">
        <v>315</v>
      </c>
      <c r="S358">
        <v>32</v>
      </c>
      <c r="T358" t="s">
        <v>124</v>
      </c>
      <c r="U358" t="s">
        <v>80</v>
      </c>
      <c r="V358" t="s">
        <v>56</v>
      </c>
      <c r="W358" t="s">
        <v>30</v>
      </c>
      <c r="X358" t="s">
        <v>30</v>
      </c>
      <c r="Y358" t="s">
        <v>30</v>
      </c>
    </row>
    <row r="359" spans="1:25" x14ac:dyDescent="0.25">
      <c r="A359" t="s">
        <v>25</v>
      </c>
      <c r="B359" t="s">
        <v>26</v>
      </c>
      <c r="C359">
        <v>2024</v>
      </c>
      <c r="D359" s="1">
        <v>45627</v>
      </c>
      <c r="E359" s="2">
        <v>0.89583333333333326</v>
      </c>
      <c r="F359" t="s">
        <v>39</v>
      </c>
      <c r="G359" t="s">
        <v>34</v>
      </c>
      <c r="H359">
        <v>1</v>
      </c>
      <c r="I359">
        <v>1</v>
      </c>
      <c r="J359" t="s">
        <v>29</v>
      </c>
      <c r="K359">
        <v>23</v>
      </c>
      <c r="L359">
        <v>303</v>
      </c>
      <c r="M359">
        <v>372</v>
      </c>
      <c r="N359">
        <v>236</v>
      </c>
      <c r="O359">
        <v>315</v>
      </c>
      <c r="P359">
        <v>389</v>
      </c>
      <c r="Q359">
        <v>228</v>
      </c>
      <c r="R359">
        <v>295</v>
      </c>
      <c r="S359">
        <v>358</v>
      </c>
      <c r="T359" t="s">
        <v>174</v>
      </c>
      <c r="U359" t="s">
        <v>85</v>
      </c>
      <c r="V359" t="s">
        <v>77</v>
      </c>
      <c r="W359" t="s">
        <v>30</v>
      </c>
      <c r="X359" t="s">
        <v>30</v>
      </c>
      <c r="Y359" t="s">
        <v>30</v>
      </c>
    </row>
    <row r="360" spans="1:25" x14ac:dyDescent="0.25">
      <c r="A360" t="s">
        <v>25</v>
      </c>
      <c r="B360" t="s">
        <v>26</v>
      </c>
      <c r="C360">
        <v>2024</v>
      </c>
      <c r="D360" s="1">
        <v>45627</v>
      </c>
      <c r="E360" s="2">
        <v>0.89583333333333326</v>
      </c>
      <c r="F360" t="s">
        <v>35</v>
      </c>
      <c r="G360" t="s">
        <v>47</v>
      </c>
      <c r="H360">
        <v>1</v>
      </c>
      <c r="I360">
        <v>1</v>
      </c>
      <c r="J360" t="s">
        <v>29</v>
      </c>
      <c r="K360">
        <v>204</v>
      </c>
      <c r="L360">
        <v>341</v>
      </c>
      <c r="M360">
        <v>4</v>
      </c>
      <c r="N360">
        <v>208</v>
      </c>
      <c r="O360">
        <v>341</v>
      </c>
      <c r="P360">
        <v>413</v>
      </c>
      <c r="Q360">
        <v>2</v>
      </c>
      <c r="R360">
        <v>332</v>
      </c>
      <c r="S360">
        <v>391</v>
      </c>
      <c r="T360" t="s">
        <v>62</v>
      </c>
      <c r="U360" t="s">
        <v>56</v>
      </c>
      <c r="V360" t="s">
        <v>83</v>
      </c>
      <c r="W360" t="s">
        <v>30</v>
      </c>
      <c r="X360" t="s">
        <v>30</v>
      </c>
      <c r="Y360" t="s">
        <v>30</v>
      </c>
    </row>
    <row r="361" spans="1:25" x14ac:dyDescent="0.25">
      <c r="A361" t="s">
        <v>25</v>
      </c>
      <c r="B361" t="s">
        <v>26</v>
      </c>
      <c r="C361">
        <v>2024</v>
      </c>
      <c r="D361" s="1">
        <v>45627</v>
      </c>
      <c r="E361" s="2">
        <v>0.89583333333333326</v>
      </c>
      <c r="F361" t="s">
        <v>49</v>
      </c>
      <c r="G361" t="s">
        <v>37</v>
      </c>
      <c r="H361">
        <v>2</v>
      </c>
      <c r="I361">
        <v>0</v>
      </c>
      <c r="J361" t="s">
        <v>33</v>
      </c>
      <c r="K361">
        <v>224</v>
      </c>
      <c r="L361">
        <v>312</v>
      </c>
      <c r="M361">
        <v>365</v>
      </c>
      <c r="N361">
        <v>244</v>
      </c>
      <c r="O361">
        <v>325</v>
      </c>
      <c r="P361">
        <v>365</v>
      </c>
      <c r="Q361">
        <v>224</v>
      </c>
      <c r="R361">
        <v>313</v>
      </c>
      <c r="S361">
        <v>342</v>
      </c>
      <c r="T361" t="s">
        <v>79</v>
      </c>
      <c r="U361" t="s">
        <v>68</v>
      </c>
      <c r="V361" t="s">
        <v>74</v>
      </c>
      <c r="W361" t="s">
        <v>30</v>
      </c>
      <c r="X361" t="s">
        <v>30</v>
      </c>
      <c r="Y361" t="s">
        <v>30</v>
      </c>
    </row>
    <row r="362" spans="1:25" x14ac:dyDescent="0.25">
      <c r="A362" t="s">
        <v>25</v>
      </c>
      <c r="B362" t="s">
        <v>26</v>
      </c>
      <c r="C362">
        <v>2024</v>
      </c>
      <c r="D362" s="1">
        <v>45629</v>
      </c>
      <c r="E362" s="2">
        <v>0.95833333333333326</v>
      </c>
      <c r="F362" t="s">
        <v>43</v>
      </c>
      <c r="G362" t="s">
        <v>32</v>
      </c>
      <c r="H362">
        <v>3</v>
      </c>
      <c r="I362">
        <v>0</v>
      </c>
      <c r="J362" t="s">
        <v>33</v>
      </c>
      <c r="K362">
        <v>17</v>
      </c>
      <c r="L362">
        <v>396</v>
      </c>
      <c r="M362">
        <v>51</v>
      </c>
      <c r="N362">
        <v>172</v>
      </c>
      <c r="O362">
        <v>41</v>
      </c>
      <c r="P362">
        <v>55</v>
      </c>
      <c r="Q362">
        <v>168</v>
      </c>
      <c r="R362">
        <v>394</v>
      </c>
      <c r="S362">
        <v>483</v>
      </c>
      <c r="T362" t="s">
        <v>190</v>
      </c>
      <c r="U362" t="s">
        <v>65</v>
      </c>
      <c r="V362" t="s">
        <v>95</v>
      </c>
      <c r="W362" t="s">
        <v>30</v>
      </c>
      <c r="X362" t="s">
        <v>30</v>
      </c>
      <c r="Y362" t="s">
        <v>30</v>
      </c>
    </row>
    <row r="363" spans="1:25" x14ac:dyDescent="0.25">
      <c r="A363" t="s">
        <v>25</v>
      </c>
      <c r="B363" t="s">
        <v>26</v>
      </c>
      <c r="C363">
        <v>2024</v>
      </c>
      <c r="D363" s="1">
        <v>45630</v>
      </c>
      <c r="E363" s="2">
        <v>0.91666666666666663</v>
      </c>
      <c r="F363" t="s">
        <v>45</v>
      </c>
      <c r="G363" t="s">
        <v>44</v>
      </c>
      <c r="H363">
        <v>2</v>
      </c>
      <c r="I363">
        <v>0</v>
      </c>
      <c r="J363" t="s">
        <v>33</v>
      </c>
      <c r="K363">
        <v>309</v>
      </c>
      <c r="L363">
        <v>295</v>
      </c>
      <c r="M363">
        <v>27</v>
      </c>
      <c r="N363">
        <v>315</v>
      </c>
      <c r="O363">
        <v>31</v>
      </c>
      <c r="P363">
        <v>275</v>
      </c>
      <c r="Q363">
        <v>298</v>
      </c>
      <c r="R363">
        <v>292</v>
      </c>
      <c r="S363">
        <v>264</v>
      </c>
      <c r="T363" t="s">
        <v>68</v>
      </c>
      <c r="U363" t="s">
        <v>53</v>
      </c>
      <c r="V363" t="s">
        <v>127</v>
      </c>
      <c r="W363" t="s">
        <v>30</v>
      </c>
      <c r="X363" t="s">
        <v>30</v>
      </c>
      <c r="Y363" t="s">
        <v>30</v>
      </c>
    </row>
    <row r="364" spans="1:25" x14ac:dyDescent="0.25">
      <c r="A364" t="s">
        <v>25</v>
      </c>
      <c r="B364" t="s">
        <v>26</v>
      </c>
      <c r="C364">
        <v>2024</v>
      </c>
      <c r="D364" s="1">
        <v>45630</v>
      </c>
      <c r="E364" s="2">
        <v>0.95833333333333326</v>
      </c>
      <c r="F364" t="s">
        <v>27</v>
      </c>
      <c r="G364" t="s">
        <v>42</v>
      </c>
      <c r="H364">
        <v>0</v>
      </c>
      <c r="I364">
        <v>3</v>
      </c>
      <c r="J364" t="s">
        <v>38</v>
      </c>
      <c r="K364">
        <v>314</v>
      </c>
      <c r="L364">
        <v>375</v>
      </c>
      <c r="M364">
        <v>223</v>
      </c>
      <c r="N364">
        <v>332</v>
      </c>
      <c r="O364">
        <v>375</v>
      </c>
      <c r="P364">
        <v>229</v>
      </c>
      <c r="Q364">
        <v>312</v>
      </c>
      <c r="R364">
        <v>361</v>
      </c>
      <c r="S364">
        <v>219</v>
      </c>
      <c r="T364" t="s">
        <v>57</v>
      </c>
      <c r="U364" t="s">
        <v>104</v>
      </c>
      <c r="V364" t="s">
        <v>158</v>
      </c>
      <c r="W364" t="s">
        <v>30</v>
      </c>
      <c r="X364" t="s">
        <v>30</v>
      </c>
      <c r="Y364" t="s">
        <v>30</v>
      </c>
    </row>
    <row r="365" spans="1:25" x14ac:dyDescent="0.25">
      <c r="A365" t="s">
        <v>25</v>
      </c>
      <c r="B365" t="s">
        <v>26</v>
      </c>
      <c r="C365">
        <v>2024</v>
      </c>
      <c r="D365" s="1">
        <v>45630</v>
      </c>
      <c r="E365" s="2">
        <v>0.95833333333333326</v>
      </c>
      <c r="F365" t="s">
        <v>36</v>
      </c>
      <c r="G365" t="s">
        <v>28</v>
      </c>
      <c r="H365">
        <v>1</v>
      </c>
      <c r="I365">
        <v>2</v>
      </c>
      <c r="J365" t="s">
        <v>38</v>
      </c>
      <c r="K365">
        <v>169</v>
      </c>
      <c r="L365">
        <v>383</v>
      </c>
      <c r="M365">
        <v>538</v>
      </c>
      <c r="N365">
        <v>189</v>
      </c>
      <c r="O365">
        <v>4</v>
      </c>
      <c r="P365">
        <v>555</v>
      </c>
      <c r="Q365">
        <v>17</v>
      </c>
      <c r="R365">
        <v>373</v>
      </c>
      <c r="S365">
        <v>5</v>
      </c>
      <c r="T365" t="s">
        <v>190</v>
      </c>
      <c r="U365" t="s">
        <v>133</v>
      </c>
      <c r="V365" t="s">
        <v>101</v>
      </c>
      <c r="W365" t="s">
        <v>30</v>
      </c>
      <c r="X365" t="s">
        <v>30</v>
      </c>
      <c r="Y365" t="s">
        <v>30</v>
      </c>
    </row>
    <row r="366" spans="1:25" x14ac:dyDescent="0.25">
      <c r="A366" t="s">
        <v>25</v>
      </c>
      <c r="B366" t="s">
        <v>26</v>
      </c>
      <c r="C366">
        <v>2024</v>
      </c>
      <c r="D366" s="1">
        <v>45630</v>
      </c>
      <c r="E366" s="2">
        <v>0.95833333333333326</v>
      </c>
      <c r="F366" t="s">
        <v>49</v>
      </c>
      <c r="G366" t="s">
        <v>46</v>
      </c>
      <c r="H366">
        <v>1</v>
      </c>
      <c r="I366">
        <v>1</v>
      </c>
      <c r="J366" t="s">
        <v>29</v>
      </c>
      <c r="K366">
        <v>252</v>
      </c>
      <c r="L366">
        <v>314</v>
      </c>
      <c r="M366">
        <v>315</v>
      </c>
      <c r="N366">
        <v>256</v>
      </c>
      <c r="O366">
        <v>323</v>
      </c>
      <c r="P366">
        <v>34</v>
      </c>
      <c r="Q366">
        <v>24</v>
      </c>
      <c r="R366">
        <v>311</v>
      </c>
      <c r="S366">
        <v>315</v>
      </c>
      <c r="T366" t="s">
        <v>67</v>
      </c>
      <c r="U366" t="s">
        <v>57</v>
      </c>
      <c r="V366" t="s">
        <v>57</v>
      </c>
      <c r="W366" t="s">
        <v>30</v>
      </c>
      <c r="X366" t="s">
        <v>30</v>
      </c>
      <c r="Y366" t="s">
        <v>30</v>
      </c>
    </row>
    <row r="367" spans="1:25" x14ac:dyDescent="0.25">
      <c r="A367" t="s">
        <v>25</v>
      </c>
      <c r="B367" t="s">
        <v>26</v>
      </c>
      <c r="C367">
        <v>2024</v>
      </c>
      <c r="D367" s="1">
        <v>45631</v>
      </c>
      <c r="E367" s="2">
        <v>2.0833333333333332E-2</v>
      </c>
      <c r="F367" t="s">
        <v>41</v>
      </c>
      <c r="G367" t="s">
        <v>37</v>
      </c>
      <c r="H367">
        <v>3</v>
      </c>
      <c r="I367">
        <v>1</v>
      </c>
      <c r="J367" t="s">
        <v>33</v>
      </c>
      <c r="K367">
        <v>259</v>
      </c>
      <c r="L367">
        <v>336</v>
      </c>
      <c r="M367">
        <v>287</v>
      </c>
      <c r="N367">
        <v>282</v>
      </c>
      <c r="O367">
        <v>34</v>
      </c>
      <c r="P367">
        <v>29</v>
      </c>
      <c r="Q367">
        <v>259</v>
      </c>
      <c r="R367">
        <v>327</v>
      </c>
      <c r="S367">
        <v>275</v>
      </c>
      <c r="T367" t="s">
        <v>86</v>
      </c>
      <c r="U367" t="s">
        <v>80</v>
      </c>
      <c r="V367" t="s">
        <v>85</v>
      </c>
      <c r="W367" t="s">
        <v>30</v>
      </c>
      <c r="X367" t="s">
        <v>30</v>
      </c>
      <c r="Y367" t="s">
        <v>30</v>
      </c>
    </row>
    <row r="368" spans="1:25" x14ac:dyDescent="0.25">
      <c r="A368" t="s">
        <v>25</v>
      </c>
      <c r="B368" t="s">
        <v>26</v>
      </c>
      <c r="C368">
        <v>2024</v>
      </c>
      <c r="D368" s="1">
        <v>45631</v>
      </c>
      <c r="E368" s="2">
        <v>2.0833333333333332E-2</v>
      </c>
      <c r="F368" t="s">
        <v>47</v>
      </c>
      <c r="G368" t="s">
        <v>50</v>
      </c>
      <c r="H368">
        <v>1</v>
      </c>
      <c r="I368">
        <v>2</v>
      </c>
      <c r="J368" t="s">
        <v>38</v>
      </c>
      <c r="K368">
        <v>405</v>
      </c>
      <c r="L368">
        <v>347</v>
      </c>
      <c r="M368">
        <v>199</v>
      </c>
      <c r="N368">
        <v>423</v>
      </c>
      <c r="O368">
        <v>348</v>
      </c>
      <c r="P368">
        <v>21</v>
      </c>
      <c r="Q368">
        <v>391</v>
      </c>
      <c r="R368">
        <v>337</v>
      </c>
      <c r="S368">
        <v>198</v>
      </c>
      <c r="T368" t="s">
        <v>65</v>
      </c>
      <c r="U368" t="s">
        <v>137</v>
      </c>
      <c r="V368" t="s">
        <v>102</v>
      </c>
      <c r="W368" t="s">
        <v>30</v>
      </c>
      <c r="X368" t="s">
        <v>30</v>
      </c>
      <c r="Y368" t="s">
        <v>30</v>
      </c>
    </row>
    <row r="369" spans="1:25" x14ac:dyDescent="0.25">
      <c r="A369" t="s">
        <v>25</v>
      </c>
      <c r="B369" t="s">
        <v>26</v>
      </c>
      <c r="C369">
        <v>2024</v>
      </c>
      <c r="D369" s="1">
        <v>45631</v>
      </c>
      <c r="E369" s="2">
        <v>2.0833333333333332E-2</v>
      </c>
      <c r="F369" t="s">
        <v>31</v>
      </c>
      <c r="G369" t="s">
        <v>48</v>
      </c>
      <c r="H369">
        <v>0</v>
      </c>
      <c r="I369">
        <v>1</v>
      </c>
      <c r="J369" t="s">
        <v>38</v>
      </c>
      <c r="K369">
        <v>279</v>
      </c>
      <c r="L369">
        <v>324</v>
      </c>
      <c r="M369">
        <v>273</v>
      </c>
      <c r="N369">
        <v>283</v>
      </c>
      <c r="O369">
        <v>34</v>
      </c>
      <c r="P369">
        <v>273</v>
      </c>
      <c r="Q369">
        <v>272</v>
      </c>
      <c r="R369">
        <v>324</v>
      </c>
      <c r="S369">
        <v>262</v>
      </c>
      <c r="T369" t="s">
        <v>146</v>
      </c>
      <c r="U369" t="s">
        <v>55</v>
      </c>
      <c r="V369" t="s">
        <v>206</v>
      </c>
      <c r="W369" t="s">
        <v>30</v>
      </c>
      <c r="X369" t="s">
        <v>30</v>
      </c>
      <c r="Y369" t="s">
        <v>30</v>
      </c>
    </row>
    <row r="370" spans="1:25" x14ac:dyDescent="0.25">
      <c r="A370" t="s">
        <v>25</v>
      </c>
      <c r="B370" t="s">
        <v>26</v>
      </c>
      <c r="C370">
        <v>2024</v>
      </c>
      <c r="D370" s="1">
        <v>45631</v>
      </c>
      <c r="E370" s="2">
        <v>0.95833333333333326</v>
      </c>
      <c r="F370" t="s">
        <v>39</v>
      </c>
      <c r="G370" t="s">
        <v>35</v>
      </c>
      <c r="H370">
        <v>1</v>
      </c>
      <c r="I370">
        <v>2</v>
      </c>
      <c r="J370" t="s">
        <v>38</v>
      </c>
      <c r="K370">
        <v>22</v>
      </c>
      <c r="L370">
        <v>325</v>
      </c>
      <c r="M370">
        <v>367</v>
      </c>
      <c r="N370">
        <v>223</v>
      </c>
      <c r="O370">
        <v>35</v>
      </c>
      <c r="P370">
        <v>382</v>
      </c>
      <c r="Q370">
        <v>212</v>
      </c>
      <c r="R370">
        <v>324</v>
      </c>
      <c r="S370">
        <v>359</v>
      </c>
      <c r="T370" t="s">
        <v>106</v>
      </c>
      <c r="U370" t="s">
        <v>80</v>
      </c>
      <c r="V370" t="s">
        <v>94</v>
      </c>
      <c r="W370" t="s">
        <v>30</v>
      </c>
      <c r="X370" t="s">
        <v>30</v>
      </c>
      <c r="Y370" t="s">
        <v>30</v>
      </c>
    </row>
    <row r="371" spans="1:25" x14ac:dyDescent="0.25">
      <c r="A371" t="s">
        <v>25</v>
      </c>
      <c r="B371" t="s">
        <v>26</v>
      </c>
      <c r="C371">
        <v>2024</v>
      </c>
      <c r="D371" s="1">
        <v>45631</v>
      </c>
      <c r="E371" s="2">
        <v>0.95833333333333326</v>
      </c>
      <c r="F371" t="s">
        <v>34</v>
      </c>
      <c r="G371" t="s">
        <v>40</v>
      </c>
      <c r="H371">
        <v>1</v>
      </c>
      <c r="I371">
        <v>0</v>
      </c>
      <c r="J371" t="s">
        <v>33</v>
      </c>
      <c r="K371">
        <v>138</v>
      </c>
      <c r="L371">
        <v>468</v>
      </c>
      <c r="M371">
        <v>1086</v>
      </c>
      <c r="N371">
        <v>141</v>
      </c>
      <c r="O371">
        <v>468</v>
      </c>
      <c r="P371">
        <v>11</v>
      </c>
      <c r="Q371">
        <v>137</v>
      </c>
      <c r="R371">
        <v>446</v>
      </c>
      <c r="S371">
        <v>98</v>
      </c>
      <c r="T371" t="s">
        <v>59</v>
      </c>
      <c r="U371" t="s">
        <v>90</v>
      </c>
      <c r="V371" t="s">
        <v>207</v>
      </c>
      <c r="W371" t="s">
        <v>30</v>
      </c>
      <c r="X371" t="s">
        <v>30</v>
      </c>
      <c r="Y371" t="s">
        <v>30</v>
      </c>
    </row>
    <row r="372" spans="1:25" x14ac:dyDescent="0.25">
      <c r="A372" t="s">
        <v>25</v>
      </c>
      <c r="B372" t="s">
        <v>26</v>
      </c>
      <c r="C372">
        <v>2024</v>
      </c>
      <c r="D372" s="1">
        <v>45634</v>
      </c>
      <c r="E372" s="2">
        <v>0.79166666666666663</v>
      </c>
      <c r="F372" t="s">
        <v>44</v>
      </c>
      <c r="G372" t="s">
        <v>39</v>
      </c>
      <c r="H372">
        <v>1</v>
      </c>
      <c r="I372">
        <v>0</v>
      </c>
      <c r="J372" t="s">
        <v>33</v>
      </c>
      <c r="K372">
        <v>209</v>
      </c>
      <c r="L372">
        <v>306</v>
      </c>
      <c r="M372">
        <v>427</v>
      </c>
      <c r="N372">
        <v>214</v>
      </c>
      <c r="O372">
        <v>33</v>
      </c>
      <c r="P372">
        <v>427</v>
      </c>
      <c r="Q372">
        <v>207</v>
      </c>
      <c r="R372">
        <v>309</v>
      </c>
      <c r="S372">
        <v>399</v>
      </c>
      <c r="T372" t="s">
        <v>62</v>
      </c>
      <c r="U372" t="s">
        <v>68</v>
      </c>
      <c r="V372" t="s">
        <v>111</v>
      </c>
      <c r="W372" t="s">
        <v>30</v>
      </c>
      <c r="X372" t="s">
        <v>30</v>
      </c>
      <c r="Y372" t="s">
        <v>30</v>
      </c>
    </row>
    <row r="373" spans="1:25" x14ac:dyDescent="0.25">
      <c r="A373" t="s">
        <v>25</v>
      </c>
      <c r="B373" t="s">
        <v>26</v>
      </c>
      <c r="C373">
        <v>2024</v>
      </c>
      <c r="D373" s="1">
        <v>45634</v>
      </c>
      <c r="E373" s="2">
        <v>0.79166666666666663</v>
      </c>
      <c r="F373" t="s">
        <v>32</v>
      </c>
      <c r="G373" t="s">
        <v>41</v>
      </c>
      <c r="H373">
        <v>2</v>
      </c>
      <c r="I373">
        <v>0</v>
      </c>
      <c r="J373" t="s">
        <v>33</v>
      </c>
      <c r="K373">
        <v>142</v>
      </c>
      <c r="L373">
        <v>488</v>
      </c>
      <c r="M373">
        <v>744</v>
      </c>
      <c r="N373">
        <v>146</v>
      </c>
      <c r="O373">
        <v>5</v>
      </c>
      <c r="P373">
        <v>75</v>
      </c>
      <c r="Q373">
        <v>142</v>
      </c>
      <c r="R373">
        <v>472</v>
      </c>
      <c r="S373">
        <v>709</v>
      </c>
      <c r="T373" t="s">
        <v>154</v>
      </c>
      <c r="U373" t="s">
        <v>90</v>
      </c>
      <c r="V373" t="s">
        <v>208</v>
      </c>
      <c r="W373" t="s">
        <v>30</v>
      </c>
      <c r="X373" t="s">
        <v>30</v>
      </c>
      <c r="Y373" t="s">
        <v>30</v>
      </c>
    </row>
    <row r="374" spans="1:25" x14ac:dyDescent="0.25">
      <c r="A374" t="s">
        <v>25</v>
      </c>
      <c r="B374" t="s">
        <v>26</v>
      </c>
      <c r="C374">
        <v>2024</v>
      </c>
      <c r="D374" s="1">
        <v>45634</v>
      </c>
      <c r="E374" s="2">
        <v>0.79166666666666663</v>
      </c>
      <c r="F374" t="s">
        <v>48</v>
      </c>
      <c r="G374" t="s">
        <v>36</v>
      </c>
      <c r="H374">
        <v>2</v>
      </c>
      <c r="I374">
        <v>1</v>
      </c>
      <c r="J374" t="s">
        <v>33</v>
      </c>
      <c r="K374">
        <v>127</v>
      </c>
      <c r="L374">
        <v>523</v>
      </c>
      <c r="M374">
        <v>157</v>
      </c>
      <c r="N374">
        <v>133</v>
      </c>
      <c r="O374">
        <v>56</v>
      </c>
      <c r="P374">
        <v>17</v>
      </c>
      <c r="Q374">
        <v>126</v>
      </c>
      <c r="R374">
        <v>524</v>
      </c>
      <c r="S374">
        <v>1376</v>
      </c>
      <c r="T374" t="s">
        <v>209</v>
      </c>
      <c r="U374" t="s">
        <v>130</v>
      </c>
      <c r="V374" t="s">
        <v>210</v>
      </c>
      <c r="W374" t="s">
        <v>30</v>
      </c>
      <c r="X374" t="s">
        <v>30</v>
      </c>
      <c r="Y374" t="s">
        <v>30</v>
      </c>
    </row>
    <row r="375" spans="1:25" x14ac:dyDescent="0.25">
      <c r="A375" t="s">
        <v>25</v>
      </c>
      <c r="B375" t="s">
        <v>26</v>
      </c>
      <c r="C375">
        <v>2024</v>
      </c>
      <c r="D375" s="1">
        <v>45634</v>
      </c>
      <c r="E375" s="2">
        <v>0.79166666666666663</v>
      </c>
      <c r="F375" t="s">
        <v>35</v>
      </c>
      <c r="G375" t="s">
        <v>27</v>
      </c>
      <c r="H375">
        <v>5</v>
      </c>
      <c r="I375">
        <v>1</v>
      </c>
      <c r="J375" t="s">
        <v>33</v>
      </c>
      <c r="K375">
        <v>137</v>
      </c>
      <c r="L375">
        <v>501</v>
      </c>
      <c r="M375">
        <v>859</v>
      </c>
      <c r="N375">
        <v>142</v>
      </c>
      <c r="O375">
        <v>501</v>
      </c>
      <c r="P375">
        <v>861</v>
      </c>
      <c r="Q375">
        <v>138</v>
      </c>
      <c r="R375">
        <v>481</v>
      </c>
      <c r="S375">
        <v>785</v>
      </c>
      <c r="T375" t="s">
        <v>177</v>
      </c>
      <c r="U375" t="s">
        <v>145</v>
      </c>
      <c r="V375" t="s">
        <v>211</v>
      </c>
      <c r="W375" t="s">
        <v>30</v>
      </c>
      <c r="X375" t="s">
        <v>30</v>
      </c>
      <c r="Y375" t="s">
        <v>30</v>
      </c>
    </row>
    <row r="376" spans="1:25" x14ac:dyDescent="0.25">
      <c r="A376" t="s">
        <v>25</v>
      </c>
      <c r="B376" t="s">
        <v>26</v>
      </c>
      <c r="C376">
        <v>2024</v>
      </c>
      <c r="D376" s="1">
        <v>45634</v>
      </c>
      <c r="E376" s="2">
        <v>0.79166666666666663</v>
      </c>
      <c r="F376" t="s">
        <v>40</v>
      </c>
      <c r="G376" t="s">
        <v>45</v>
      </c>
      <c r="H376">
        <v>1</v>
      </c>
      <c r="I376">
        <v>2</v>
      </c>
      <c r="J376" t="s">
        <v>38</v>
      </c>
      <c r="K376">
        <v>351</v>
      </c>
      <c r="L376">
        <v>318</v>
      </c>
      <c r="M376">
        <v>227</v>
      </c>
      <c r="N376">
        <v>371</v>
      </c>
      <c r="O376">
        <v>33</v>
      </c>
      <c r="P376">
        <v>227</v>
      </c>
      <c r="Q376">
        <v>352</v>
      </c>
      <c r="R376">
        <v>316</v>
      </c>
      <c r="S376">
        <v>219</v>
      </c>
      <c r="T376" t="s">
        <v>94</v>
      </c>
      <c r="U376" t="s">
        <v>52</v>
      </c>
      <c r="V376" t="s">
        <v>156</v>
      </c>
      <c r="W376" t="s">
        <v>30</v>
      </c>
      <c r="X376" t="s">
        <v>30</v>
      </c>
      <c r="Y376" t="s">
        <v>30</v>
      </c>
    </row>
    <row r="377" spans="1:25" x14ac:dyDescent="0.25">
      <c r="A377" t="s">
        <v>25</v>
      </c>
      <c r="B377" t="s">
        <v>26</v>
      </c>
      <c r="C377">
        <v>2024</v>
      </c>
      <c r="D377" s="1">
        <v>45634</v>
      </c>
      <c r="E377" s="2">
        <v>0.79166666666666663</v>
      </c>
      <c r="F377" t="s">
        <v>42</v>
      </c>
      <c r="G377" t="s">
        <v>49</v>
      </c>
      <c r="H377">
        <v>2</v>
      </c>
      <c r="I377">
        <v>2</v>
      </c>
      <c r="J377" t="s">
        <v>29</v>
      </c>
      <c r="K377">
        <v>138</v>
      </c>
      <c r="L377">
        <v>52</v>
      </c>
      <c r="M377">
        <v>793</v>
      </c>
      <c r="N377">
        <v>14</v>
      </c>
      <c r="O377">
        <v>53</v>
      </c>
      <c r="P377">
        <v>825</v>
      </c>
      <c r="Q377">
        <v>137</v>
      </c>
      <c r="R377">
        <v>502</v>
      </c>
      <c r="S377">
        <v>766</v>
      </c>
      <c r="T377" t="s">
        <v>212</v>
      </c>
      <c r="U377" t="s">
        <v>145</v>
      </c>
      <c r="V377" t="s">
        <v>112</v>
      </c>
      <c r="W377" t="s">
        <v>30</v>
      </c>
      <c r="X377" t="s">
        <v>30</v>
      </c>
      <c r="Y377" t="s">
        <v>30</v>
      </c>
    </row>
    <row r="378" spans="1:25" x14ac:dyDescent="0.25">
      <c r="A378" t="s">
        <v>25</v>
      </c>
      <c r="B378" t="s">
        <v>26</v>
      </c>
      <c r="C378">
        <v>2024</v>
      </c>
      <c r="D378" s="1">
        <v>45634</v>
      </c>
      <c r="E378" s="2">
        <v>0.79166666666666663</v>
      </c>
      <c r="F378" t="s">
        <v>37</v>
      </c>
      <c r="G378" t="s">
        <v>31</v>
      </c>
      <c r="H378">
        <v>3</v>
      </c>
      <c r="I378">
        <v>0</v>
      </c>
      <c r="J378" t="s">
        <v>33</v>
      </c>
      <c r="K378">
        <v>262</v>
      </c>
      <c r="L378">
        <v>324</v>
      </c>
      <c r="M378">
        <v>288</v>
      </c>
      <c r="N378">
        <v>265</v>
      </c>
      <c r="O378">
        <v>325</v>
      </c>
      <c r="P378">
        <v>29</v>
      </c>
      <c r="Q378">
        <v>259</v>
      </c>
      <c r="R378">
        <v>318</v>
      </c>
      <c r="S378">
        <v>28</v>
      </c>
      <c r="T378" t="s">
        <v>136</v>
      </c>
      <c r="U378" t="s">
        <v>80</v>
      </c>
      <c r="V378" t="s">
        <v>109</v>
      </c>
      <c r="W378" t="s">
        <v>30</v>
      </c>
      <c r="X378" t="s">
        <v>30</v>
      </c>
      <c r="Y378" t="s">
        <v>30</v>
      </c>
    </row>
    <row r="379" spans="1:25" x14ac:dyDescent="0.25">
      <c r="A379" t="s">
        <v>25</v>
      </c>
      <c r="B379" t="s">
        <v>26</v>
      </c>
      <c r="C379">
        <v>2024</v>
      </c>
      <c r="D379" s="1">
        <v>45634</v>
      </c>
      <c r="E379" s="2">
        <v>0.79166666666666663</v>
      </c>
      <c r="F379" t="s">
        <v>46</v>
      </c>
      <c r="G379" t="s">
        <v>43</v>
      </c>
      <c r="H379">
        <v>0</v>
      </c>
      <c r="I379">
        <v>3</v>
      </c>
      <c r="J379" t="s">
        <v>38</v>
      </c>
      <c r="K379">
        <v>274</v>
      </c>
      <c r="L379">
        <v>335</v>
      </c>
      <c r="M379">
        <v>266</v>
      </c>
      <c r="N379">
        <v>277</v>
      </c>
      <c r="O379">
        <v>346</v>
      </c>
      <c r="P379">
        <v>274</v>
      </c>
      <c r="Q379">
        <v>267</v>
      </c>
      <c r="R379">
        <v>334</v>
      </c>
      <c r="S379">
        <v>261</v>
      </c>
      <c r="T379" t="s">
        <v>213</v>
      </c>
      <c r="U379" t="s">
        <v>58</v>
      </c>
      <c r="V379" t="s">
        <v>136</v>
      </c>
      <c r="W379" t="s">
        <v>30</v>
      </c>
      <c r="X379" t="s">
        <v>30</v>
      </c>
      <c r="Y379" t="s">
        <v>30</v>
      </c>
    </row>
    <row r="380" spans="1:25" x14ac:dyDescent="0.25">
      <c r="A380" t="s">
        <v>25</v>
      </c>
      <c r="B380" t="s">
        <v>26</v>
      </c>
      <c r="C380">
        <v>2024</v>
      </c>
      <c r="D380" s="1">
        <v>45634</v>
      </c>
      <c r="E380" s="2">
        <v>0.79166666666666663</v>
      </c>
      <c r="F380" t="s">
        <v>28</v>
      </c>
      <c r="G380" t="s">
        <v>47</v>
      </c>
      <c r="H380">
        <v>0</v>
      </c>
      <c r="I380">
        <v>1</v>
      </c>
      <c r="J380" t="s">
        <v>38</v>
      </c>
      <c r="K380">
        <v>213</v>
      </c>
      <c r="L380">
        <v>342</v>
      </c>
      <c r="M380">
        <v>359</v>
      </c>
      <c r="N380">
        <v>221</v>
      </c>
      <c r="O380">
        <v>347</v>
      </c>
      <c r="P380">
        <v>359</v>
      </c>
      <c r="Q380">
        <v>213</v>
      </c>
      <c r="R380">
        <v>337</v>
      </c>
      <c r="S380">
        <v>344</v>
      </c>
      <c r="T380" t="s">
        <v>193</v>
      </c>
      <c r="U380" t="s">
        <v>58</v>
      </c>
      <c r="V380" t="s">
        <v>104</v>
      </c>
      <c r="W380" t="s">
        <v>30</v>
      </c>
      <c r="X380" t="s">
        <v>30</v>
      </c>
      <c r="Y380" t="s">
        <v>30</v>
      </c>
    </row>
    <row r="381" spans="1:25" x14ac:dyDescent="0.25">
      <c r="A381" t="s">
        <v>25</v>
      </c>
      <c r="B381" t="s">
        <v>26</v>
      </c>
      <c r="C381">
        <v>2024</v>
      </c>
      <c r="D381" s="1">
        <v>45634</v>
      </c>
      <c r="E381" s="2">
        <v>0.79166666666666663</v>
      </c>
      <c r="F381" t="s">
        <v>50</v>
      </c>
      <c r="G381" t="s">
        <v>34</v>
      </c>
      <c r="H381">
        <v>0</v>
      </c>
      <c r="I381">
        <v>1</v>
      </c>
      <c r="J381" t="s">
        <v>38</v>
      </c>
      <c r="K381">
        <v>147</v>
      </c>
      <c r="L381">
        <v>456</v>
      </c>
      <c r="M381">
        <v>685</v>
      </c>
      <c r="N381">
        <v>151</v>
      </c>
      <c r="O381">
        <v>46</v>
      </c>
      <c r="P381">
        <v>71</v>
      </c>
      <c r="Q381">
        <v>146</v>
      </c>
      <c r="R381">
        <v>441</v>
      </c>
      <c r="S381">
        <v>674</v>
      </c>
      <c r="T381" t="s">
        <v>214</v>
      </c>
      <c r="U381" t="s">
        <v>183</v>
      </c>
      <c r="V381" t="s">
        <v>215</v>
      </c>
      <c r="W381" t="s">
        <v>30</v>
      </c>
      <c r="X381" t="s">
        <v>30</v>
      </c>
      <c r="Y381" t="s">
        <v>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9CF3A-8CE4-42A1-A94B-E8902E7C9817}">
  <dimension ref="A2:B23"/>
  <sheetViews>
    <sheetView workbookViewId="0">
      <selection activeCell="H39" sqref="H39"/>
    </sheetView>
  </sheetViews>
  <sheetFormatPr defaultRowHeight="15" x14ac:dyDescent="0.25"/>
  <cols>
    <col min="1" max="1" width="12.7109375" bestFit="1" customWidth="1"/>
    <col min="2" max="2" width="12" bestFit="1" customWidth="1"/>
  </cols>
  <sheetData>
    <row r="2" spans="1:2" x14ac:dyDescent="0.25">
      <c r="A2" s="3" t="s">
        <v>5</v>
      </c>
      <c r="B2" t="s">
        <v>216</v>
      </c>
    </row>
    <row r="3" spans="1:2" x14ac:dyDescent="0.25">
      <c r="A3" t="s">
        <v>43</v>
      </c>
      <c r="B3">
        <v>37</v>
      </c>
    </row>
    <row r="4" spans="1:2" x14ac:dyDescent="0.25">
      <c r="A4" t="s">
        <v>50</v>
      </c>
      <c r="B4">
        <v>34</v>
      </c>
    </row>
    <row r="5" spans="1:2" x14ac:dyDescent="0.25">
      <c r="A5" t="s">
        <v>37</v>
      </c>
      <c r="B5">
        <v>32</v>
      </c>
    </row>
    <row r="6" spans="1:2" x14ac:dyDescent="0.25">
      <c r="A6" t="s">
        <v>48</v>
      </c>
      <c r="B6">
        <v>31</v>
      </c>
    </row>
    <row r="7" spans="1:2" x14ac:dyDescent="0.25">
      <c r="A7" t="s">
        <v>36</v>
      </c>
      <c r="B7">
        <v>31</v>
      </c>
    </row>
    <row r="8" spans="1:2" x14ac:dyDescent="0.25">
      <c r="A8" t="s">
        <v>31</v>
      </c>
      <c r="B8">
        <v>30</v>
      </c>
    </row>
    <row r="9" spans="1:2" x14ac:dyDescent="0.25">
      <c r="A9" t="s">
        <v>42</v>
      </c>
      <c r="B9">
        <v>30</v>
      </c>
    </row>
    <row r="10" spans="1:2" x14ac:dyDescent="0.25">
      <c r="A10" t="s">
        <v>45</v>
      </c>
      <c r="B10">
        <v>29</v>
      </c>
    </row>
    <row r="11" spans="1:2" x14ac:dyDescent="0.25">
      <c r="A11" t="s">
        <v>47</v>
      </c>
      <c r="B11">
        <v>29</v>
      </c>
    </row>
    <row r="12" spans="1:2" x14ac:dyDescent="0.25">
      <c r="A12" t="s">
        <v>44</v>
      </c>
      <c r="B12">
        <v>27</v>
      </c>
    </row>
    <row r="13" spans="1:2" x14ac:dyDescent="0.25">
      <c r="A13" t="s">
        <v>35</v>
      </c>
      <c r="B13">
        <v>27</v>
      </c>
    </row>
    <row r="14" spans="1:2" x14ac:dyDescent="0.25">
      <c r="A14" t="s">
        <v>28</v>
      </c>
      <c r="B14">
        <v>27</v>
      </c>
    </row>
    <row r="15" spans="1:2" x14ac:dyDescent="0.25">
      <c r="A15" t="s">
        <v>46</v>
      </c>
      <c r="B15">
        <v>26</v>
      </c>
    </row>
    <row r="16" spans="1:2" x14ac:dyDescent="0.25">
      <c r="A16" t="s">
        <v>32</v>
      </c>
      <c r="B16">
        <v>25</v>
      </c>
    </row>
    <row r="17" spans="1:2" x14ac:dyDescent="0.25">
      <c r="A17" t="s">
        <v>39</v>
      </c>
      <c r="B17">
        <v>24</v>
      </c>
    </row>
    <row r="18" spans="1:2" x14ac:dyDescent="0.25">
      <c r="A18" t="s">
        <v>49</v>
      </c>
      <c r="B18">
        <v>23</v>
      </c>
    </row>
    <row r="19" spans="1:2" x14ac:dyDescent="0.25">
      <c r="A19" t="s">
        <v>27</v>
      </c>
      <c r="B19">
        <v>22</v>
      </c>
    </row>
    <row r="20" spans="1:2" x14ac:dyDescent="0.25">
      <c r="A20" t="s">
        <v>34</v>
      </c>
      <c r="B20">
        <v>20</v>
      </c>
    </row>
    <row r="21" spans="1:2" x14ac:dyDescent="0.25">
      <c r="A21" t="s">
        <v>41</v>
      </c>
      <c r="B21">
        <v>16</v>
      </c>
    </row>
    <row r="22" spans="1:2" x14ac:dyDescent="0.25">
      <c r="A22" t="s">
        <v>40</v>
      </c>
      <c r="B22">
        <v>16</v>
      </c>
    </row>
    <row r="23" spans="1:2" x14ac:dyDescent="0.25">
      <c r="A23" t="s">
        <v>217</v>
      </c>
      <c r="B23">
        <v>536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8BC84-405C-4D15-9290-EBB6376A02BF}">
  <dimension ref="A2:C23"/>
  <sheetViews>
    <sheetView workbookViewId="0">
      <selection activeCell="M38" sqref="M38"/>
    </sheetView>
  </sheetViews>
  <sheetFormatPr defaultRowHeight="15" x14ac:dyDescent="0.25"/>
  <cols>
    <col min="1" max="1" width="12.7109375" bestFit="1" customWidth="1"/>
    <col min="2" max="2" width="12.85546875" bestFit="1" customWidth="1"/>
    <col min="3" max="3" width="14.42578125" bestFit="1" customWidth="1"/>
  </cols>
  <sheetData>
    <row r="2" spans="1:3" x14ac:dyDescent="0.25">
      <c r="A2" s="5" t="s">
        <v>5</v>
      </c>
      <c r="B2" s="4" t="s">
        <v>218</v>
      </c>
      <c r="C2" s="4" t="s">
        <v>219</v>
      </c>
    </row>
    <row r="3" spans="1:3" x14ac:dyDescent="0.25">
      <c r="A3" s="4" t="s">
        <v>43</v>
      </c>
      <c r="B3" s="4">
        <v>18</v>
      </c>
      <c r="C3" s="4">
        <v>37</v>
      </c>
    </row>
    <row r="4" spans="1:3" x14ac:dyDescent="0.25">
      <c r="A4" s="4" t="s">
        <v>50</v>
      </c>
      <c r="B4" s="4">
        <v>16</v>
      </c>
      <c r="C4" s="4">
        <v>34</v>
      </c>
    </row>
    <row r="5" spans="1:3" x14ac:dyDescent="0.25">
      <c r="A5" s="4" t="s">
        <v>37</v>
      </c>
      <c r="B5" s="4">
        <v>8</v>
      </c>
      <c r="C5" s="4">
        <v>32</v>
      </c>
    </row>
    <row r="6" spans="1:3" x14ac:dyDescent="0.25">
      <c r="A6" s="4" t="s">
        <v>36</v>
      </c>
      <c r="B6" s="4">
        <v>18</v>
      </c>
      <c r="C6" s="4">
        <v>31</v>
      </c>
    </row>
    <row r="7" spans="1:3" x14ac:dyDescent="0.25">
      <c r="A7" s="4" t="s">
        <v>48</v>
      </c>
      <c r="B7" s="4">
        <v>13</v>
      </c>
      <c r="C7" s="4">
        <v>31</v>
      </c>
    </row>
    <row r="8" spans="1:3" x14ac:dyDescent="0.25">
      <c r="A8" s="4" t="s">
        <v>31</v>
      </c>
      <c r="B8" s="4">
        <v>15</v>
      </c>
      <c r="C8" s="4">
        <v>30</v>
      </c>
    </row>
    <row r="9" spans="1:3" x14ac:dyDescent="0.25">
      <c r="A9" s="4" t="s">
        <v>42</v>
      </c>
      <c r="B9" s="4">
        <v>21</v>
      </c>
      <c r="C9" s="4">
        <v>30</v>
      </c>
    </row>
    <row r="10" spans="1:3" x14ac:dyDescent="0.25">
      <c r="A10" s="4" t="s">
        <v>47</v>
      </c>
      <c r="B10" s="4">
        <v>16</v>
      </c>
      <c r="C10" s="4">
        <v>29</v>
      </c>
    </row>
    <row r="11" spans="1:3" x14ac:dyDescent="0.25">
      <c r="A11" s="4" t="s">
        <v>45</v>
      </c>
      <c r="B11" s="4">
        <v>24</v>
      </c>
      <c r="C11" s="4">
        <v>29</v>
      </c>
    </row>
    <row r="12" spans="1:3" x14ac:dyDescent="0.25">
      <c r="A12" s="4" t="s">
        <v>28</v>
      </c>
      <c r="B12" s="4">
        <v>24</v>
      </c>
      <c r="C12" s="4">
        <v>27</v>
      </c>
    </row>
    <row r="13" spans="1:3" x14ac:dyDescent="0.25">
      <c r="A13" s="4" t="s">
        <v>44</v>
      </c>
      <c r="B13" s="4">
        <v>26</v>
      </c>
      <c r="C13" s="4">
        <v>27</v>
      </c>
    </row>
    <row r="14" spans="1:3" x14ac:dyDescent="0.25">
      <c r="A14" s="4" t="s">
        <v>35</v>
      </c>
      <c r="B14" s="4">
        <v>19</v>
      </c>
      <c r="C14" s="4">
        <v>27</v>
      </c>
    </row>
    <row r="15" spans="1:3" x14ac:dyDescent="0.25">
      <c r="A15" s="4" t="s">
        <v>46</v>
      </c>
      <c r="B15" s="4">
        <v>26</v>
      </c>
      <c r="C15" s="4">
        <v>26</v>
      </c>
    </row>
    <row r="16" spans="1:3" x14ac:dyDescent="0.25">
      <c r="A16" s="4" t="s">
        <v>32</v>
      </c>
      <c r="B16" s="4">
        <v>15</v>
      </c>
      <c r="C16" s="4">
        <v>25</v>
      </c>
    </row>
    <row r="17" spans="1:3" x14ac:dyDescent="0.25">
      <c r="A17" s="4" t="s">
        <v>39</v>
      </c>
      <c r="B17" s="4">
        <v>21</v>
      </c>
      <c r="C17" s="4">
        <v>24</v>
      </c>
    </row>
    <row r="18" spans="1:3" x14ac:dyDescent="0.25">
      <c r="A18" s="4" t="s">
        <v>49</v>
      </c>
      <c r="B18" s="4">
        <v>23</v>
      </c>
      <c r="C18" s="4">
        <v>23</v>
      </c>
    </row>
    <row r="19" spans="1:3" x14ac:dyDescent="0.25">
      <c r="A19" s="4" t="s">
        <v>27</v>
      </c>
      <c r="B19" s="4">
        <v>27</v>
      </c>
      <c r="C19" s="4">
        <v>22</v>
      </c>
    </row>
    <row r="20" spans="1:3" x14ac:dyDescent="0.25">
      <c r="A20" s="4" t="s">
        <v>34</v>
      </c>
      <c r="B20" s="4">
        <v>16</v>
      </c>
      <c r="C20" s="4">
        <v>20</v>
      </c>
    </row>
    <row r="21" spans="1:3" x14ac:dyDescent="0.25">
      <c r="A21" s="4" t="s">
        <v>41</v>
      </c>
      <c r="B21" s="4">
        <v>24</v>
      </c>
      <c r="C21" s="4">
        <v>16</v>
      </c>
    </row>
    <row r="22" spans="1:3" x14ac:dyDescent="0.25">
      <c r="A22" s="4" t="s">
        <v>40</v>
      </c>
      <c r="B22" s="4">
        <v>23</v>
      </c>
      <c r="C22" s="4">
        <v>16</v>
      </c>
    </row>
    <row r="23" spans="1:3" x14ac:dyDescent="0.25">
      <c r="A23" s="4" t="s">
        <v>217</v>
      </c>
      <c r="B23" s="4">
        <v>393</v>
      </c>
      <c r="C23" s="4">
        <v>536</v>
      </c>
    </row>
  </sheetData>
  <sortState xmlns:xlrd2="http://schemas.microsoft.com/office/spreadsheetml/2017/richdata2" ref="D3:D23">
    <sortCondition descending="1" ref="D3:D23"/>
  </sortState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848BD-9227-437D-887F-DB871C85A018}">
  <dimension ref="A2:E24"/>
  <sheetViews>
    <sheetView workbookViewId="0">
      <selection activeCell="F6" sqref="F6"/>
    </sheetView>
  </sheetViews>
  <sheetFormatPr defaultRowHeight="15" x14ac:dyDescent="0.25"/>
  <cols>
    <col min="1" max="1" width="23.5703125" bestFit="1" customWidth="1"/>
    <col min="2" max="2" width="16.85546875" bestFit="1" customWidth="1"/>
    <col min="3" max="3" width="8.85546875" bestFit="1" customWidth="1"/>
    <col min="4" max="4" width="8" style="4" bestFit="1" customWidth="1"/>
    <col min="5" max="5" width="11" bestFit="1" customWidth="1"/>
  </cols>
  <sheetData>
    <row r="2" spans="1:5" x14ac:dyDescent="0.25">
      <c r="A2" s="5" t="s">
        <v>220</v>
      </c>
      <c r="B2" s="5" t="s">
        <v>221</v>
      </c>
      <c r="C2" s="4"/>
      <c r="E2" s="4"/>
    </row>
    <row r="3" spans="1:5" x14ac:dyDescent="0.25">
      <c r="A3" s="5" t="s">
        <v>5</v>
      </c>
      <c r="B3" s="4" t="s">
        <v>222</v>
      </c>
      <c r="C3" s="4" t="s">
        <v>223</v>
      </c>
      <c r="D3" s="4" t="s">
        <v>224</v>
      </c>
      <c r="E3" s="4" t="s">
        <v>217</v>
      </c>
    </row>
    <row r="4" spans="1:5" x14ac:dyDescent="0.25">
      <c r="A4" s="4" t="s">
        <v>39</v>
      </c>
      <c r="B4" s="4">
        <v>8</v>
      </c>
      <c r="C4" s="4">
        <v>4</v>
      </c>
      <c r="D4" s="4">
        <v>7</v>
      </c>
      <c r="E4" s="4">
        <v>19</v>
      </c>
    </row>
    <row r="5" spans="1:5" x14ac:dyDescent="0.25">
      <c r="A5" s="4" t="s">
        <v>41</v>
      </c>
      <c r="B5" s="4">
        <v>9</v>
      </c>
      <c r="C5" s="4">
        <v>5</v>
      </c>
      <c r="D5" s="4">
        <v>5</v>
      </c>
      <c r="E5" s="4">
        <v>19</v>
      </c>
    </row>
    <row r="6" spans="1:5" x14ac:dyDescent="0.25">
      <c r="A6" s="4" t="s">
        <v>44</v>
      </c>
      <c r="B6" s="4">
        <v>5</v>
      </c>
      <c r="C6" s="4">
        <v>7</v>
      </c>
      <c r="D6" s="4">
        <v>7</v>
      </c>
      <c r="E6" s="4">
        <v>19</v>
      </c>
    </row>
    <row r="7" spans="1:5" x14ac:dyDescent="0.25">
      <c r="A7" s="4" t="s">
        <v>32</v>
      </c>
      <c r="B7" s="4">
        <v>5</v>
      </c>
      <c r="C7" s="4">
        <v>3</v>
      </c>
      <c r="D7" s="4">
        <v>11</v>
      </c>
      <c r="E7" s="4">
        <v>19</v>
      </c>
    </row>
    <row r="8" spans="1:5" x14ac:dyDescent="0.25">
      <c r="A8" s="4" t="s">
        <v>48</v>
      </c>
      <c r="B8" s="4">
        <v>2</v>
      </c>
      <c r="C8" s="4">
        <v>5</v>
      </c>
      <c r="D8" s="4">
        <v>12</v>
      </c>
      <c r="E8" s="4">
        <v>19</v>
      </c>
    </row>
    <row r="9" spans="1:5" x14ac:dyDescent="0.25">
      <c r="A9" s="4" t="s">
        <v>35</v>
      </c>
      <c r="B9" s="4">
        <v>4</v>
      </c>
      <c r="C9" s="4">
        <v>7</v>
      </c>
      <c r="D9" s="4">
        <v>8</v>
      </c>
      <c r="E9" s="4">
        <v>19</v>
      </c>
    </row>
    <row r="10" spans="1:5" x14ac:dyDescent="0.25">
      <c r="A10" s="4" t="s">
        <v>43</v>
      </c>
      <c r="B10" s="4">
        <v>1</v>
      </c>
      <c r="C10" s="4">
        <v>8</v>
      </c>
      <c r="D10" s="4">
        <v>10</v>
      </c>
      <c r="E10" s="4">
        <v>19</v>
      </c>
    </row>
    <row r="11" spans="1:5" x14ac:dyDescent="0.25">
      <c r="A11" s="4" t="s">
        <v>27</v>
      </c>
      <c r="B11" s="4">
        <v>6</v>
      </c>
      <c r="C11" s="4">
        <v>8</v>
      </c>
      <c r="D11" s="4">
        <v>5</v>
      </c>
      <c r="E11" s="4">
        <v>19</v>
      </c>
    </row>
    <row r="12" spans="1:5" x14ac:dyDescent="0.25">
      <c r="A12" s="4" t="s">
        <v>47</v>
      </c>
      <c r="B12" s="4">
        <v>4</v>
      </c>
      <c r="C12" s="4">
        <v>5</v>
      </c>
      <c r="D12" s="4">
        <v>10</v>
      </c>
      <c r="E12" s="4">
        <v>19</v>
      </c>
    </row>
    <row r="13" spans="1:5" x14ac:dyDescent="0.25">
      <c r="A13" s="4" t="s">
        <v>40</v>
      </c>
      <c r="B13" s="4">
        <v>11</v>
      </c>
      <c r="C13" s="4">
        <v>5</v>
      </c>
      <c r="D13" s="4">
        <v>3</v>
      </c>
      <c r="E13" s="4">
        <v>19</v>
      </c>
    </row>
    <row r="14" spans="1:5" x14ac:dyDescent="0.25">
      <c r="A14" s="4" t="s">
        <v>42</v>
      </c>
      <c r="B14" s="4">
        <v>3</v>
      </c>
      <c r="C14" s="4">
        <v>5</v>
      </c>
      <c r="D14" s="4">
        <v>11</v>
      </c>
      <c r="E14" s="4">
        <v>19</v>
      </c>
    </row>
    <row r="15" spans="1:5" x14ac:dyDescent="0.25">
      <c r="A15" s="4" t="s">
        <v>34</v>
      </c>
      <c r="B15" s="4">
        <v>4</v>
      </c>
      <c r="C15" s="4">
        <v>8</v>
      </c>
      <c r="D15" s="4">
        <v>7</v>
      </c>
      <c r="E15" s="4">
        <v>19</v>
      </c>
    </row>
    <row r="16" spans="1:5" x14ac:dyDescent="0.25">
      <c r="A16" s="4" t="s">
        <v>37</v>
      </c>
      <c r="B16" s="4"/>
      <c r="C16" s="4">
        <v>5</v>
      </c>
      <c r="D16" s="4">
        <v>14</v>
      </c>
      <c r="E16" s="4">
        <v>19</v>
      </c>
    </row>
    <row r="17" spans="1:5" x14ac:dyDescent="0.25">
      <c r="A17" s="4" t="s">
        <v>46</v>
      </c>
      <c r="B17" s="4">
        <v>8</v>
      </c>
      <c r="C17" s="4">
        <v>2</v>
      </c>
      <c r="D17" s="4">
        <v>9</v>
      </c>
      <c r="E17" s="4">
        <v>19</v>
      </c>
    </row>
    <row r="18" spans="1:5" x14ac:dyDescent="0.25">
      <c r="A18" s="4" t="s">
        <v>31</v>
      </c>
      <c r="B18" s="4">
        <v>3</v>
      </c>
      <c r="C18" s="4">
        <v>5</v>
      </c>
      <c r="D18" s="4">
        <v>11</v>
      </c>
      <c r="E18" s="4">
        <v>19</v>
      </c>
    </row>
    <row r="19" spans="1:5" x14ac:dyDescent="0.25">
      <c r="A19" s="4" t="s">
        <v>28</v>
      </c>
      <c r="B19" s="4">
        <v>5</v>
      </c>
      <c r="C19" s="4">
        <v>6</v>
      </c>
      <c r="D19" s="4">
        <v>8</v>
      </c>
      <c r="E19" s="4">
        <v>19</v>
      </c>
    </row>
    <row r="20" spans="1:5" x14ac:dyDescent="0.25">
      <c r="A20" s="4" t="s">
        <v>50</v>
      </c>
      <c r="B20" s="4">
        <v>5</v>
      </c>
      <c r="C20" s="4">
        <v>2</v>
      </c>
      <c r="D20" s="4">
        <v>12</v>
      </c>
      <c r="E20" s="4">
        <v>19</v>
      </c>
    </row>
    <row r="21" spans="1:5" x14ac:dyDescent="0.25">
      <c r="A21" s="4" t="s">
        <v>36</v>
      </c>
      <c r="B21" s="4">
        <v>4</v>
      </c>
      <c r="C21" s="4">
        <v>3</v>
      </c>
      <c r="D21" s="4">
        <v>12</v>
      </c>
      <c r="E21" s="4">
        <v>19</v>
      </c>
    </row>
    <row r="22" spans="1:5" x14ac:dyDescent="0.25">
      <c r="A22" s="4" t="s">
        <v>45</v>
      </c>
      <c r="B22" s="4">
        <v>4</v>
      </c>
      <c r="C22" s="4">
        <v>5</v>
      </c>
      <c r="D22" s="4">
        <v>10</v>
      </c>
      <c r="E22" s="4">
        <v>19</v>
      </c>
    </row>
    <row r="23" spans="1:5" x14ac:dyDescent="0.25">
      <c r="A23" s="4" t="s">
        <v>49</v>
      </c>
      <c r="B23" s="4">
        <v>8</v>
      </c>
      <c r="C23" s="4">
        <v>3</v>
      </c>
      <c r="D23" s="4">
        <v>8</v>
      </c>
      <c r="E23" s="4">
        <v>19</v>
      </c>
    </row>
    <row r="24" spans="1:5" x14ac:dyDescent="0.25">
      <c r="A24" s="4" t="s">
        <v>217</v>
      </c>
      <c r="B24" s="4">
        <v>99</v>
      </c>
      <c r="C24" s="4">
        <v>101</v>
      </c>
      <c r="D24" s="4">
        <v>180</v>
      </c>
      <c r="E24" s="4">
        <v>380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BB11F-26AC-4DF9-99BD-408F8C21B1E6}">
  <dimension ref="A2:D128"/>
  <sheetViews>
    <sheetView topLeftCell="A7" workbookViewId="0">
      <selection activeCell="E6" sqref="E6"/>
    </sheetView>
  </sheetViews>
  <sheetFormatPr defaultRowHeight="15" x14ac:dyDescent="0.25"/>
  <cols>
    <col min="1" max="1" width="11.42578125" bestFit="1" customWidth="1"/>
    <col min="2" max="3" width="12" bestFit="1" customWidth="1"/>
  </cols>
  <sheetData>
    <row r="2" spans="1:4" x14ac:dyDescent="0.25">
      <c r="A2" s="3" t="s">
        <v>3</v>
      </c>
      <c r="B2" t="s">
        <v>216</v>
      </c>
      <c r="C2" t="s">
        <v>225</v>
      </c>
      <c r="D2" t="s">
        <v>226</v>
      </c>
    </row>
    <row r="3" spans="1:4" x14ac:dyDescent="0.25">
      <c r="A3" s="1">
        <v>45634</v>
      </c>
      <c r="B3">
        <v>16</v>
      </c>
      <c r="C3">
        <v>11</v>
      </c>
      <c r="D3">
        <f t="shared" ref="D3:D34" si="0">B3+C3</f>
        <v>27</v>
      </c>
    </row>
    <row r="4" spans="1:4" x14ac:dyDescent="0.25">
      <c r="A4" s="1">
        <v>45480</v>
      </c>
      <c r="B4">
        <v>16</v>
      </c>
      <c r="C4">
        <v>6</v>
      </c>
      <c r="D4">
        <f t="shared" si="0"/>
        <v>22</v>
      </c>
    </row>
    <row r="5" spans="1:4" x14ac:dyDescent="0.25">
      <c r="A5" s="1">
        <v>45550</v>
      </c>
      <c r="B5">
        <v>15</v>
      </c>
      <c r="C5">
        <v>6</v>
      </c>
      <c r="D5">
        <f t="shared" si="0"/>
        <v>21</v>
      </c>
    </row>
    <row r="6" spans="1:4" x14ac:dyDescent="0.25">
      <c r="A6" s="1">
        <v>45591</v>
      </c>
      <c r="B6">
        <v>15</v>
      </c>
      <c r="C6">
        <v>10</v>
      </c>
      <c r="D6">
        <f t="shared" si="0"/>
        <v>25</v>
      </c>
    </row>
    <row r="7" spans="1:4" x14ac:dyDescent="0.25">
      <c r="A7" s="1">
        <v>45466</v>
      </c>
      <c r="B7">
        <v>15</v>
      </c>
      <c r="C7">
        <v>7</v>
      </c>
      <c r="D7">
        <f t="shared" si="0"/>
        <v>22</v>
      </c>
    </row>
    <row r="8" spans="1:4" x14ac:dyDescent="0.25">
      <c r="A8" s="1">
        <v>45459</v>
      </c>
      <c r="B8">
        <v>14</v>
      </c>
      <c r="C8">
        <v>10</v>
      </c>
      <c r="D8">
        <f t="shared" si="0"/>
        <v>24</v>
      </c>
    </row>
    <row r="9" spans="1:4" x14ac:dyDescent="0.25">
      <c r="A9" s="1">
        <v>45536</v>
      </c>
      <c r="B9">
        <v>14</v>
      </c>
      <c r="C9">
        <v>12</v>
      </c>
      <c r="D9">
        <f t="shared" si="0"/>
        <v>26</v>
      </c>
    </row>
    <row r="10" spans="1:4" x14ac:dyDescent="0.25">
      <c r="A10" s="1">
        <v>45396</v>
      </c>
      <c r="B10">
        <v>13</v>
      </c>
      <c r="C10">
        <v>10</v>
      </c>
      <c r="D10">
        <f t="shared" si="0"/>
        <v>23</v>
      </c>
    </row>
    <row r="11" spans="1:4" x14ac:dyDescent="0.25">
      <c r="A11" s="1">
        <v>45477</v>
      </c>
      <c r="B11">
        <v>13</v>
      </c>
      <c r="C11">
        <v>9</v>
      </c>
      <c r="D11">
        <f t="shared" si="0"/>
        <v>22</v>
      </c>
    </row>
    <row r="12" spans="1:4" x14ac:dyDescent="0.25">
      <c r="A12" s="1">
        <v>45515</v>
      </c>
      <c r="B12">
        <v>12</v>
      </c>
      <c r="C12">
        <v>6</v>
      </c>
      <c r="D12">
        <f t="shared" si="0"/>
        <v>18</v>
      </c>
    </row>
    <row r="13" spans="1:4" x14ac:dyDescent="0.25">
      <c r="A13" s="1" t="s">
        <v>217</v>
      </c>
      <c r="B13">
        <v>143</v>
      </c>
      <c r="C13">
        <v>87</v>
      </c>
      <c r="D13">
        <f t="shared" si="0"/>
        <v>230</v>
      </c>
    </row>
    <row r="14" spans="1:4" x14ac:dyDescent="0.25">
      <c r="D14">
        <f t="shared" si="0"/>
        <v>0</v>
      </c>
    </row>
    <row r="15" spans="1:4" x14ac:dyDescent="0.25">
      <c r="D15">
        <f t="shared" si="0"/>
        <v>0</v>
      </c>
    </row>
    <row r="16" spans="1:4" x14ac:dyDescent="0.25">
      <c r="D16">
        <f t="shared" si="0"/>
        <v>0</v>
      </c>
    </row>
    <row r="17" spans="4:4" x14ac:dyDescent="0.25">
      <c r="D17">
        <f t="shared" si="0"/>
        <v>0</v>
      </c>
    </row>
    <row r="18" spans="4:4" x14ac:dyDescent="0.25">
      <c r="D18">
        <f t="shared" si="0"/>
        <v>0</v>
      </c>
    </row>
    <row r="19" spans="4:4" x14ac:dyDescent="0.25">
      <c r="D19">
        <f t="shared" si="0"/>
        <v>0</v>
      </c>
    </row>
    <row r="20" spans="4:4" x14ac:dyDescent="0.25">
      <c r="D20">
        <f t="shared" si="0"/>
        <v>0</v>
      </c>
    </row>
    <row r="21" spans="4:4" x14ac:dyDescent="0.25">
      <c r="D21">
        <f t="shared" si="0"/>
        <v>0</v>
      </c>
    </row>
    <row r="22" spans="4:4" x14ac:dyDescent="0.25">
      <c r="D22">
        <f t="shared" si="0"/>
        <v>0</v>
      </c>
    </row>
    <row r="23" spans="4:4" x14ac:dyDescent="0.25">
      <c r="D23">
        <f t="shared" si="0"/>
        <v>0</v>
      </c>
    </row>
    <row r="24" spans="4:4" x14ac:dyDescent="0.25">
      <c r="D24">
        <f t="shared" si="0"/>
        <v>0</v>
      </c>
    </row>
    <row r="25" spans="4:4" x14ac:dyDescent="0.25">
      <c r="D25">
        <f t="shared" si="0"/>
        <v>0</v>
      </c>
    </row>
    <row r="26" spans="4:4" x14ac:dyDescent="0.25">
      <c r="D26">
        <f t="shared" si="0"/>
        <v>0</v>
      </c>
    </row>
    <row r="27" spans="4:4" x14ac:dyDescent="0.25">
      <c r="D27">
        <f t="shared" si="0"/>
        <v>0</v>
      </c>
    </row>
    <row r="28" spans="4:4" x14ac:dyDescent="0.25">
      <c r="D28">
        <f t="shared" si="0"/>
        <v>0</v>
      </c>
    </row>
    <row r="29" spans="4:4" x14ac:dyDescent="0.25">
      <c r="D29">
        <f t="shared" si="0"/>
        <v>0</v>
      </c>
    </row>
    <row r="30" spans="4:4" x14ac:dyDescent="0.25">
      <c r="D30">
        <f t="shared" si="0"/>
        <v>0</v>
      </c>
    </row>
    <row r="31" spans="4:4" x14ac:dyDescent="0.25">
      <c r="D31">
        <f t="shared" si="0"/>
        <v>0</v>
      </c>
    </row>
    <row r="32" spans="4:4" x14ac:dyDescent="0.25">
      <c r="D32">
        <f t="shared" si="0"/>
        <v>0</v>
      </c>
    </row>
    <row r="33" spans="4:4" x14ac:dyDescent="0.25">
      <c r="D33">
        <f t="shared" si="0"/>
        <v>0</v>
      </c>
    </row>
    <row r="34" spans="4:4" x14ac:dyDescent="0.25">
      <c r="D34">
        <f t="shared" si="0"/>
        <v>0</v>
      </c>
    </row>
    <row r="35" spans="4:4" x14ac:dyDescent="0.25">
      <c r="D35">
        <f t="shared" ref="D35:D66" si="1">B35+C35</f>
        <v>0</v>
      </c>
    </row>
    <row r="36" spans="4:4" x14ac:dyDescent="0.25">
      <c r="D36">
        <f t="shared" si="1"/>
        <v>0</v>
      </c>
    </row>
    <row r="37" spans="4:4" x14ac:dyDescent="0.25">
      <c r="D37">
        <f t="shared" si="1"/>
        <v>0</v>
      </c>
    </row>
    <row r="38" spans="4:4" x14ac:dyDescent="0.25">
      <c r="D38">
        <f t="shared" si="1"/>
        <v>0</v>
      </c>
    </row>
    <row r="39" spans="4:4" x14ac:dyDescent="0.25">
      <c r="D39">
        <f t="shared" si="1"/>
        <v>0</v>
      </c>
    </row>
    <row r="40" spans="4:4" x14ac:dyDescent="0.25">
      <c r="D40">
        <f t="shared" si="1"/>
        <v>0</v>
      </c>
    </row>
    <row r="41" spans="4:4" x14ac:dyDescent="0.25">
      <c r="D41">
        <f t="shared" si="1"/>
        <v>0</v>
      </c>
    </row>
    <row r="42" spans="4:4" x14ac:dyDescent="0.25">
      <c r="D42">
        <f t="shared" si="1"/>
        <v>0</v>
      </c>
    </row>
    <row r="43" spans="4:4" x14ac:dyDescent="0.25">
      <c r="D43">
        <f t="shared" si="1"/>
        <v>0</v>
      </c>
    </row>
    <row r="44" spans="4:4" x14ac:dyDescent="0.25">
      <c r="D44">
        <f t="shared" si="1"/>
        <v>0</v>
      </c>
    </row>
    <row r="45" spans="4:4" x14ac:dyDescent="0.25">
      <c r="D45">
        <f t="shared" si="1"/>
        <v>0</v>
      </c>
    </row>
    <row r="46" spans="4:4" x14ac:dyDescent="0.25">
      <c r="D46">
        <f t="shared" si="1"/>
        <v>0</v>
      </c>
    </row>
    <row r="47" spans="4:4" x14ac:dyDescent="0.25">
      <c r="D47">
        <f t="shared" si="1"/>
        <v>0</v>
      </c>
    </row>
    <row r="48" spans="4:4" x14ac:dyDescent="0.25">
      <c r="D48">
        <f t="shared" si="1"/>
        <v>0</v>
      </c>
    </row>
    <row r="49" spans="4:4" x14ac:dyDescent="0.25">
      <c r="D49">
        <f t="shared" si="1"/>
        <v>0</v>
      </c>
    </row>
    <row r="50" spans="4:4" x14ac:dyDescent="0.25">
      <c r="D50">
        <f t="shared" si="1"/>
        <v>0</v>
      </c>
    </row>
    <row r="51" spans="4:4" x14ac:dyDescent="0.25">
      <c r="D51">
        <f t="shared" si="1"/>
        <v>0</v>
      </c>
    </row>
    <row r="52" spans="4:4" x14ac:dyDescent="0.25">
      <c r="D52">
        <f t="shared" si="1"/>
        <v>0</v>
      </c>
    </row>
    <row r="53" spans="4:4" x14ac:dyDescent="0.25">
      <c r="D53">
        <f t="shared" si="1"/>
        <v>0</v>
      </c>
    </row>
    <row r="54" spans="4:4" x14ac:dyDescent="0.25">
      <c r="D54">
        <f t="shared" si="1"/>
        <v>0</v>
      </c>
    </row>
    <row r="55" spans="4:4" x14ac:dyDescent="0.25">
      <c r="D55">
        <f t="shared" si="1"/>
        <v>0</v>
      </c>
    </row>
    <row r="56" spans="4:4" x14ac:dyDescent="0.25">
      <c r="D56">
        <f t="shared" si="1"/>
        <v>0</v>
      </c>
    </row>
    <row r="57" spans="4:4" x14ac:dyDescent="0.25">
      <c r="D57">
        <f t="shared" si="1"/>
        <v>0</v>
      </c>
    </row>
    <row r="58" spans="4:4" x14ac:dyDescent="0.25">
      <c r="D58">
        <f t="shared" si="1"/>
        <v>0</v>
      </c>
    </row>
    <row r="59" spans="4:4" x14ac:dyDescent="0.25">
      <c r="D59">
        <f t="shared" si="1"/>
        <v>0</v>
      </c>
    </row>
    <row r="60" spans="4:4" x14ac:dyDescent="0.25">
      <c r="D60">
        <f t="shared" si="1"/>
        <v>0</v>
      </c>
    </row>
    <row r="61" spans="4:4" x14ac:dyDescent="0.25">
      <c r="D61">
        <f t="shared" si="1"/>
        <v>0</v>
      </c>
    </row>
    <row r="62" spans="4:4" x14ac:dyDescent="0.25">
      <c r="D62">
        <f t="shared" si="1"/>
        <v>0</v>
      </c>
    </row>
    <row r="63" spans="4:4" x14ac:dyDescent="0.25">
      <c r="D63">
        <f t="shared" si="1"/>
        <v>0</v>
      </c>
    </row>
    <row r="64" spans="4:4" x14ac:dyDescent="0.25">
      <c r="D64">
        <f t="shared" si="1"/>
        <v>0</v>
      </c>
    </row>
    <row r="65" spans="4:4" x14ac:dyDescent="0.25">
      <c r="D65">
        <f t="shared" si="1"/>
        <v>0</v>
      </c>
    </row>
    <row r="66" spans="4:4" x14ac:dyDescent="0.25">
      <c r="D66">
        <f t="shared" si="1"/>
        <v>0</v>
      </c>
    </row>
    <row r="67" spans="4:4" x14ac:dyDescent="0.25">
      <c r="D67">
        <f t="shared" ref="D67:D98" si="2">B67+C67</f>
        <v>0</v>
      </c>
    </row>
    <row r="68" spans="4:4" x14ac:dyDescent="0.25">
      <c r="D68">
        <f t="shared" si="2"/>
        <v>0</v>
      </c>
    </row>
    <row r="69" spans="4:4" x14ac:dyDescent="0.25">
      <c r="D69">
        <f t="shared" si="2"/>
        <v>0</v>
      </c>
    </row>
    <row r="70" spans="4:4" x14ac:dyDescent="0.25">
      <c r="D70">
        <f t="shared" si="2"/>
        <v>0</v>
      </c>
    </row>
    <row r="71" spans="4:4" x14ac:dyDescent="0.25">
      <c r="D71">
        <f t="shared" si="2"/>
        <v>0</v>
      </c>
    </row>
    <row r="72" spans="4:4" x14ac:dyDescent="0.25">
      <c r="D72">
        <f t="shared" si="2"/>
        <v>0</v>
      </c>
    </row>
    <row r="73" spans="4:4" x14ac:dyDescent="0.25">
      <c r="D73">
        <f t="shared" si="2"/>
        <v>0</v>
      </c>
    </row>
    <row r="74" spans="4:4" x14ac:dyDescent="0.25">
      <c r="D74">
        <f t="shared" si="2"/>
        <v>0</v>
      </c>
    </row>
    <row r="75" spans="4:4" x14ac:dyDescent="0.25">
      <c r="D75">
        <f t="shared" si="2"/>
        <v>0</v>
      </c>
    </row>
    <row r="76" spans="4:4" x14ac:dyDescent="0.25">
      <c r="D76">
        <f t="shared" si="2"/>
        <v>0</v>
      </c>
    </row>
    <row r="77" spans="4:4" x14ac:dyDescent="0.25">
      <c r="D77">
        <f t="shared" si="2"/>
        <v>0</v>
      </c>
    </row>
    <row r="78" spans="4:4" x14ac:dyDescent="0.25">
      <c r="D78">
        <f t="shared" si="2"/>
        <v>0</v>
      </c>
    </row>
    <row r="79" spans="4:4" x14ac:dyDescent="0.25">
      <c r="D79">
        <f t="shared" si="2"/>
        <v>0</v>
      </c>
    </row>
    <row r="80" spans="4:4" x14ac:dyDescent="0.25">
      <c r="D80">
        <f t="shared" si="2"/>
        <v>0</v>
      </c>
    </row>
    <row r="81" spans="4:4" x14ac:dyDescent="0.25">
      <c r="D81">
        <f t="shared" si="2"/>
        <v>0</v>
      </c>
    </row>
    <row r="82" spans="4:4" x14ac:dyDescent="0.25">
      <c r="D82">
        <f t="shared" si="2"/>
        <v>0</v>
      </c>
    </row>
    <row r="83" spans="4:4" x14ac:dyDescent="0.25">
      <c r="D83">
        <f t="shared" si="2"/>
        <v>0</v>
      </c>
    </row>
    <row r="84" spans="4:4" x14ac:dyDescent="0.25">
      <c r="D84">
        <f t="shared" si="2"/>
        <v>0</v>
      </c>
    </row>
    <row r="85" spans="4:4" x14ac:dyDescent="0.25">
      <c r="D85">
        <f t="shared" si="2"/>
        <v>0</v>
      </c>
    </row>
    <row r="86" spans="4:4" x14ac:dyDescent="0.25">
      <c r="D86">
        <f t="shared" si="2"/>
        <v>0</v>
      </c>
    </row>
    <row r="87" spans="4:4" x14ac:dyDescent="0.25">
      <c r="D87">
        <f t="shared" si="2"/>
        <v>0</v>
      </c>
    </row>
    <row r="88" spans="4:4" x14ac:dyDescent="0.25">
      <c r="D88">
        <f t="shared" si="2"/>
        <v>0</v>
      </c>
    </row>
    <row r="89" spans="4:4" x14ac:dyDescent="0.25">
      <c r="D89">
        <f t="shared" si="2"/>
        <v>0</v>
      </c>
    </row>
    <row r="90" spans="4:4" x14ac:dyDescent="0.25">
      <c r="D90">
        <f t="shared" si="2"/>
        <v>0</v>
      </c>
    </row>
    <row r="91" spans="4:4" x14ac:dyDescent="0.25">
      <c r="D91">
        <f t="shared" si="2"/>
        <v>0</v>
      </c>
    </row>
    <row r="92" spans="4:4" x14ac:dyDescent="0.25">
      <c r="D92">
        <f t="shared" si="2"/>
        <v>0</v>
      </c>
    </row>
    <row r="93" spans="4:4" x14ac:dyDescent="0.25">
      <c r="D93">
        <f t="shared" si="2"/>
        <v>0</v>
      </c>
    </row>
    <row r="94" spans="4:4" x14ac:dyDescent="0.25">
      <c r="D94">
        <f t="shared" si="2"/>
        <v>0</v>
      </c>
    </row>
    <row r="95" spans="4:4" x14ac:dyDescent="0.25">
      <c r="D95">
        <f t="shared" si="2"/>
        <v>0</v>
      </c>
    </row>
    <row r="96" spans="4:4" x14ac:dyDescent="0.25">
      <c r="D96">
        <f t="shared" si="2"/>
        <v>0</v>
      </c>
    </row>
    <row r="97" spans="4:4" x14ac:dyDescent="0.25">
      <c r="D97">
        <f t="shared" si="2"/>
        <v>0</v>
      </c>
    </row>
    <row r="98" spans="4:4" x14ac:dyDescent="0.25">
      <c r="D98">
        <f t="shared" si="2"/>
        <v>0</v>
      </c>
    </row>
    <row r="99" spans="4:4" x14ac:dyDescent="0.25">
      <c r="D99">
        <f t="shared" ref="D99:D130" si="3">B99+C99</f>
        <v>0</v>
      </c>
    </row>
    <row r="100" spans="4:4" x14ac:dyDescent="0.25">
      <c r="D100">
        <f t="shared" si="3"/>
        <v>0</v>
      </c>
    </row>
    <row r="101" spans="4:4" x14ac:dyDescent="0.25">
      <c r="D101">
        <f t="shared" si="3"/>
        <v>0</v>
      </c>
    </row>
    <row r="102" spans="4:4" x14ac:dyDescent="0.25">
      <c r="D102">
        <f t="shared" si="3"/>
        <v>0</v>
      </c>
    </row>
    <row r="103" spans="4:4" x14ac:dyDescent="0.25">
      <c r="D103">
        <f t="shared" si="3"/>
        <v>0</v>
      </c>
    </row>
    <row r="104" spans="4:4" x14ac:dyDescent="0.25">
      <c r="D104">
        <f t="shared" si="3"/>
        <v>0</v>
      </c>
    </row>
    <row r="105" spans="4:4" x14ac:dyDescent="0.25">
      <c r="D105">
        <f t="shared" si="3"/>
        <v>0</v>
      </c>
    </row>
    <row r="106" spans="4:4" x14ac:dyDescent="0.25">
      <c r="D106">
        <f t="shared" si="3"/>
        <v>0</v>
      </c>
    </row>
    <row r="107" spans="4:4" x14ac:dyDescent="0.25">
      <c r="D107">
        <f t="shared" si="3"/>
        <v>0</v>
      </c>
    </row>
    <row r="108" spans="4:4" x14ac:dyDescent="0.25">
      <c r="D108">
        <f t="shared" si="3"/>
        <v>0</v>
      </c>
    </row>
    <row r="109" spans="4:4" x14ac:dyDescent="0.25">
      <c r="D109">
        <f t="shared" si="3"/>
        <v>0</v>
      </c>
    </row>
    <row r="110" spans="4:4" x14ac:dyDescent="0.25">
      <c r="D110">
        <f t="shared" si="3"/>
        <v>0</v>
      </c>
    </row>
    <row r="111" spans="4:4" x14ac:dyDescent="0.25">
      <c r="D111">
        <f t="shared" si="3"/>
        <v>0</v>
      </c>
    </row>
    <row r="112" spans="4:4" x14ac:dyDescent="0.25">
      <c r="D112">
        <f t="shared" si="3"/>
        <v>0</v>
      </c>
    </row>
    <row r="113" spans="4:4" x14ac:dyDescent="0.25">
      <c r="D113">
        <f t="shared" si="3"/>
        <v>0</v>
      </c>
    </row>
    <row r="114" spans="4:4" x14ac:dyDescent="0.25">
      <c r="D114">
        <f t="shared" si="3"/>
        <v>0</v>
      </c>
    </row>
    <row r="115" spans="4:4" x14ac:dyDescent="0.25">
      <c r="D115">
        <f t="shared" si="3"/>
        <v>0</v>
      </c>
    </row>
    <row r="116" spans="4:4" x14ac:dyDescent="0.25">
      <c r="D116">
        <f t="shared" si="3"/>
        <v>0</v>
      </c>
    </row>
    <row r="117" spans="4:4" x14ac:dyDescent="0.25">
      <c r="D117">
        <f t="shared" si="3"/>
        <v>0</v>
      </c>
    </row>
    <row r="118" spans="4:4" x14ac:dyDescent="0.25">
      <c r="D118">
        <f t="shared" si="3"/>
        <v>0</v>
      </c>
    </row>
    <row r="119" spans="4:4" x14ac:dyDescent="0.25">
      <c r="D119">
        <f t="shared" si="3"/>
        <v>0</v>
      </c>
    </row>
    <row r="120" spans="4:4" x14ac:dyDescent="0.25">
      <c r="D120">
        <f t="shared" si="3"/>
        <v>0</v>
      </c>
    </row>
    <row r="121" spans="4:4" x14ac:dyDescent="0.25">
      <c r="D121">
        <f t="shared" si="3"/>
        <v>0</v>
      </c>
    </row>
    <row r="122" spans="4:4" x14ac:dyDescent="0.25">
      <c r="D122">
        <f t="shared" si="3"/>
        <v>0</v>
      </c>
    </row>
    <row r="123" spans="4:4" x14ac:dyDescent="0.25">
      <c r="D123">
        <f t="shared" si="3"/>
        <v>0</v>
      </c>
    </row>
    <row r="124" spans="4:4" x14ac:dyDescent="0.25">
      <c r="D124">
        <f t="shared" si="3"/>
        <v>0</v>
      </c>
    </row>
    <row r="125" spans="4:4" x14ac:dyDescent="0.25">
      <c r="D125">
        <f t="shared" si="3"/>
        <v>0</v>
      </c>
    </row>
    <row r="126" spans="4:4" x14ac:dyDescent="0.25">
      <c r="D126">
        <f t="shared" si="3"/>
        <v>0</v>
      </c>
    </row>
    <row r="127" spans="4:4" x14ac:dyDescent="0.25">
      <c r="D127">
        <f t="shared" si="3"/>
        <v>0</v>
      </c>
    </row>
    <row r="128" spans="4:4" x14ac:dyDescent="0.25">
      <c r="D128">
        <f t="shared" ref="D128" si="4">B128+C128</f>
        <v>0</v>
      </c>
    </row>
  </sheetData>
  <sortState xmlns:xlrd2="http://schemas.microsoft.com/office/spreadsheetml/2017/richdata2" ref="D3:D127">
    <sortCondition ref="D3:D127"/>
  </sortState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5AB26-4D4B-48EC-9ED4-EF3F9BC7384B}">
  <dimension ref="A1:AA32"/>
  <sheetViews>
    <sheetView showGridLines="0" tabSelected="1" zoomScale="70" zoomScaleNormal="70" workbookViewId="0">
      <selection sqref="A1:AA1"/>
    </sheetView>
  </sheetViews>
  <sheetFormatPr defaultRowHeight="15" x14ac:dyDescent="0.25"/>
  <cols>
    <col min="1" max="1" width="32.7109375" customWidth="1"/>
    <col min="8" max="8" width="14.42578125" customWidth="1"/>
    <col min="9" max="9" width="18" customWidth="1"/>
  </cols>
  <sheetData>
    <row r="1" spans="1:27" ht="36" x14ac:dyDescent="0.55000000000000004">
      <c r="A1" s="7" t="s">
        <v>227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6" spans="1:27" x14ac:dyDescent="0.25">
      <c r="H6" s="4"/>
      <c r="I6" s="4"/>
    </row>
    <row r="7" spans="1:27" x14ac:dyDescent="0.25">
      <c r="H7" s="4"/>
      <c r="I7" s="4"/>
    </row>
    <row r="32" spans="25:25" x14ac:dyDescent="0.25">
      <c r="Y32" s="6"/>
    </row>
  </sheetData>
  <mergeCells count="1">
    <mergeCell ref="A1:AA1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4A0F58-1BE8-4742-BBC6-E23960BA29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BRA</vt:lpstr>
      <vt:lpstr>Gols em casa</vt:lpstr>
      <vt:lpstr>Gols_Marcados_x_Sofridos</vt:lpstr>
      <vt:lpstr>Resultados</vt:lpstr>
      <vt:lpstr>Rodadas com mais Gols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Leonan Costa</dc:creator>
  <cp:keywords/>
  <dc:description/>
  <cp:lastModifiedBy>LEONAN COSTA</cp:lastModifiedBy>
  <cp:revision/>
  <cp:lastPrinted>2026-05-30T05:06:00Z</cp:lastPrinted>
  <dcterms:created xsi:type="dcterms:W3CDTF">2026-05-30T03:05:49Z</dcterms:created>
  <dcterms:modified xsi:type="dcterms:W3CDTF">2026-05-30T05:06:27Z</dcterms:modified>
  <cp:category/>
  <cp:contentStatus/>
</cp:coreProperties>
</file>